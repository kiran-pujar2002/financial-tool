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ds_kiran\"/>
    </mc:Choice>
  </mc:AlternateContent>
  <bookViews>
    <workbookView xWindow="0" yWindow="0" windowWidth="23040" windowHeight="9264" activeTab="1"/>
  </bookViews>
  <sheets>
    <sheet name="DCF Valuation" sheetId="1" r:id="rId1"/>
    <sheet name="WACC " sheetId="5" r:id="rId2"/>
    <sheet name="Sheet6" sheetId="6" r:id="rId3"/>
    <sheet name="Forecasting" sheetId="4" r:id="rId4"/>
    <sheet name="Sheet2" sheetId="2" r:id="rId5"/>
    <sheet name="Raw Data" sheetId="3" r:id="rId6"/>
  </sheets>
  <externalReferences>
    <externalReference r:id="rId7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I17" i="1" s="1"/>
  <c r="J17" i="1" s="1"/>
  <c r="G17" i="1"/>
  <c r="C35" i="1"/>
  <c r="C33" i="1"/>
  <c r="C31" i="1"/>
  <c r="C30" i="1"/>
  <c r="C29" i="1"/>
  <c r="C15" i="5"/>
  <c r="C16" i="5" s="1"/>
  <c r="C13" i="5"/>
  <c r="C7" i="5"/>
  <c r="C12" i="5"/>
  <c r="C14" i="5" s="1"/>
  <c r="C23" i="5"/>
  <c r="C25" i="5" s="1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4" i="6"/>
  <c r="L5" i="6" s="1"/>
  <c r="C8" i="5" s="1"/>
  <c r="C30" i="5"/>
  <c r="C11" i="5" s="1"/>
  <c r="D79" i="4"/>
  <c r="E79" i="4"/>
  <c r="C79" i="4"/>
  <c r="C69" i="4"/>
  <c r="E67" i="4"/>
  <c r="F67" i="4"/>
  <c r="G67" i="4"/>
  <c r="H67" i="4"/>
  <c r="I67" i="4"/>
  <c r="J67" i="4"/>
  <c r="K67" i="4"/>
  <c r="L67" i="4"/>
  <c r="D63" i="4"/>
  <c r="E63" i="4"/>
  <c r="F63" i="4"/>
  <c r="G63" i="4"/>
  <c r="H63" i="4"/>
  <c r="I63" i="4"/>
  <c r="J63" i="4"/>
  <c r="K63" i="4"/>
  <c r="L63" i="4"/>
  <c r="D64" i="4"/>
  <c r="E64" i="4"/>
  <c r="F64" i="4"/>
  <c r="G64" i="4"/>
  <c r="H64" i="4"/>
  <c r="I64" i="4"/>
  <c r="J64" i="4"/>
  <c r="K64" i="4"/>
  <c r="L64" i="4"/>
  <c r="C64" i="4"/>
  <c r="C63" i="4"/>
  <c r="D59" i="4"/>
  <c r="E59" i="4"/>
  <c r="F59" i="4"/>
  <c r="G59" i="4"/>
  <c r="H59" i="4"/>
  <c r="I59" i="4"/>
  <c r="J59" i="4"/>
  <c r="K59" i="4"/>
  <c r="L59" i="4"/>
  <c r="D60" i="4"/>
  <c r="E60" i="4"/>
  <c r="F60" i="4"/>
  <c r="G60" i="4"/>
  <c r="H60" i="4"/>
  <c r="I60" i="4"/>
  <c r="J60" i="4"/>
  <c r="K60" i="4"/>
  <c r="L60" i="4"/>
  <c r="C60" i="4"/>
  <c r="C59" i="4"/>
  <c r="D58" i="4"/>
  <c r="E58" i="4"/>
  <c r="F58" i="4"/>
  <c r="G58" i="4"/>
  <c r="H58" i="4"/>
  <c r="I58" i="4"/>
  <c r="J58" i="4"/>
  <c r="K58" i="4"/>
  <c r="L58" i="4"/>
  <c r="C58" i="4"/>
  <c r="N117" i="3"/>
  <c r="D14" i="1"/>
  <c r="E14" i="1"/>
  <c r="C14" i="1"/>
  <c r="O21" i="3"/>
  <c r="N21" i="3"/>
  <c r="O20" i="3"/>
  <c r="N20" i="3"/>
  <c r="D21" i="3"/>
  <c r="E21" i="3"/>
  <c r="F21" i="3"/>
  <c r="G21" i="3"/>
  <c r="H21" i="3"/>
  <c r="I21" i="3"/>
  <c r="J21" i="3"/>
  <c r="K21" i="3"/>
  <c r="L21" i="3"/>
  <c r="C21" i="3"/>
  <c r="J24" i="4"/>
  <c r="I24" i="4"/>
  <c r="H24" i="4"/>
  <c r="G24" i="4"/>
  <c r="F24" i="4"/>
  <c r="D24" i="4"/>
  <c r="D19" i="4"/>
  <c r="E19" i="4"/>
  <c r="F19" i="4"/>
  <c r="G19" i="4"/>
  <c r="H19" i="4"/>
  <c r="I19" i="4"/>
  <c r="J19" i="4"/>
  <c r="C24" i="4" s="1"/>
  <c r="K19" i="4"/>
  <c r="L19" i="4"/>
  <c r="E24" i="4" s="1"/>
  <c r="D20" i="4"/>
  <c r="E20" i="4"/>
  <c r="F20" i="4"/>
  <c r="G20" i="4"/>
  <c r="H20" i="4"/>
  <c r="I20" i="4"/>
  <c r="J20" i="4"/>
  <c r="C32" i="4" s="1"/>
  <c r="K20" i="4"/>
  <c r="D32" i="4" s="1"/>
  <c r="L20" i="4"/>
  <c r="E32" i="4" s="1"/>
  <c r="D21" i="4"/>
  <c r="E21" i="4"/>
  <c r="F21" i="4"/>
  <c r="G21" i="4"/>
  <c r="H21" i="4"/>
  <c r="I21" i="4"/>
  <c r="J21" i="4"/>
  <c r="C40" i="4" s="1"/>
  <c r="K21" i="4"/>
  <c r="L21" i="4"/>
  <c r="C21" i="4"/>
  <c r="C20" i="4"/>
  <c r="C19" i="4"/>
  <c r="C13" i="4"/>
  <c r="D6" i="4"/>
  <c r="E6" i="4"/>
  <c r="F6" i="4"/>
  <c r="G6" i="4"/>
  <c r="H6" i="4"/>
  <c r="I6" i="4"/>
  <c r="J6" i="4"/>
  <c r="K6" i="4"/>
  <c r="L6" i="4"/>
  <c r="C23" i="3"/>
  <c r="C8" i="4" s="1"/>
  <c r="D23" i="3"/>
  <c r="D8" i="4" s="1"/>
  <c r="E23" i="3"/>
  <c r="E8" i="4" s="1"/>
  <c r="F23" i="3"/>
  <c r="F8" i="4" s="1"/>
  <c r="G23" i="3"/>
  <c r="G8" i="4" s="1"/>
  <c r="H23" i="3"/>
  <c r="H8" i="4" s="1"/>
  <c r="I23" i="3"/>
  <c r="I8" i="4" s="1"/>
  <c r="J23" i="3"/>
  <c r="J8" i="4" s="1"/>
  <c r="C10" i="1" s="1"/>
  <c r="K23" i="3"/>
  <c r="K8" i="4" s="1"/>
  <c r="D10" i="1" s="1"/>
  <c r="L23" i="3"/>
  <c r="L8" i="4" s="1"/>
  <c r="E10" i="1" s="1"/>
  <c r="C6" i="4"/>
  <c r="D5" i="4"/>
  <c r="E5" i="4"/>
  <c r="F5" i="4"/>
  <c r="G5" i="4"/>
  <c r="H5" i="4"/>
  <c r="I5" i="4"/>
  <c r="J5" i="4"/>
  <c r="K5" i="4"/>
  <c r="L5" i="4"/>
  <c r="C5" i="4"/>
  <c r="C14" i="3"/>
  <c r="C15" i="3" s="1"/>
  <c r="D14" i="3"/>
  <c r="D15" i="3" s="1"/>
  <c r="E14" i="3"/>
  <c r="E15" i="3" s="1"/>
  <c r="F14" i="3"/>
  <c r="F15" i="3" s="1"/>
  <c r="G14" i="3"/>
  <c r="G15" i="3" s="1"/>
  <c r="H14" i="3"/>
  <c r="H15" i="3" s="1"/>
  <c r="I14" i="3"/>
  <c r="I15" i="3" s="1"/>
  <c r="J14" i="3"/>
  <c r="J15" i="3" s="1"/>
  <c r="C8" i="1" s="1"/>
  <c r="K14" i="3"/>
  <c r="K15" i="3" s="1"/>
  <c r="D8" i="1" s="1"/>
  <c r="L14" i="3"/>
  <c r="L15" i="3" s="1"/>
  <c r="E8" i="1" s="1"/>
  <c r="C9" i="5" l="1"/>
  <c r="C17" i="5" s="1"/>
  <c r="H7" i="4"/>
  <c r="K7" i="4"/>
  <c r="G7" i="4"/>
  <c r="L7" i="4"/>
  <c r="J7" i="4"/>
  <c r="F7" i="4"/>
  <c r="D7" i="4"/>
  <c r="I7" i="4"/>
  <c r="E7" i="4"/>
  <c r="O15" i="3"/>
  <c r="N15" i="3"/>
  <c r="C7" i="4"/>
  <c r="C11" i="4" s="1"/>
  <c r="D6" i="1"/>
  <c r="D72" i="4" s="1"/>
  <c r="D80" i="4" s="1"/>
  <c r="D77" i="4" s="1"/>
  <c r="D12" i="1" s="1"/>
  <c r="E6" i="1"/>
  <c r="E72" i="4" s="1"/>
  <c r="E80" i="4" s="1"/>
  <c r="E77" i="4" s="1"/>
  <c r="E12" i="1" s="1"/>
  <c r="C6" i="1"/>
  <c r="C72" i="4" s="1"/>
  <c r="C80" i="4" s="1"/>
  <c r="C77" i="4" s="1"/>
  <c r="C12" i="1" s="1"/>
  <c r="E71" i="4"/>
  <c r="D71" i="4"/>
  <c r="B71" i="4"/>
  <c r="L65" i="4"/>
  <c r="K65" i="4"/>
  <c r="J65" i="4"/>
  <c r="I65" i="4"/>
  <c r="H65" i="4"/>
  <c r="G65" i="4"/>
  <c r="F65" i="4"/>
  <c r="E65" i="4"/>
  <c r="D65" i="4"/>
  <c r="C65" i="4"/>
  <c r="L61" i="4"/>
  <c r="K61" i="4"/>
  <c r="J61" i="4"/>
  <c r="I61" i="4"/>
  <c r="H61" i="4"/>
  <c r="G61" i="4"/>
  <c r="F61" i="4"/>
  <c r="E61" i="4"/>
  <c r="D61" i="4"/>
  <c r="C61" i="4"/>
  <c r="E40" i="4"/>
  <c r="D40" i="4"/>
  <c r="D23" i="4"/>
  <c r="E23" i="4" s="1"/>
  <c r="O21" i="4"/>
  <c r="N21" i="4"/>
  <c r="O20" i="4"/>
  <c r="N20" i="4"/>
  <c r="O19" i="4"/>
  <c r="N19" i="4"/>
  <c r="K18" i="4"/>
  <c r="I18" i="4"/>
  <c r="G18" i="4"/>
  <c r="E18" i="4"/>
  <c r="C18" i="4"/>
  <c r="L10" i="4"/>
  <c r="K11" i="4"/>
  <c r="I10" i="4"/>
  <c r="H10" i="4"/>
  <c r="E11" i="4"/>
  <c r="D10" i="4"/>
  <c r="D11" i="4"/>
  <c r="L57" i="4"/>
  <c r="K57" i="4"/>
  <c r="J18" i="4"/>
  <c r="I57" i="4"/>
  <c r="H18" i="4"/>
  <c r="G57" i="4"/>
  <c r="F18" i="4"/>
  <c r="E57" i="4"/>
  <c r="D18" i="4"/>
  <c r="C57" i="4"/>
  <c r="D5" i="1"/>
  <c r="E5" i="1" s="1"/>
  <c r="C16" i="1" l="1"/>
  <c r="D33" i="4"/>
  <c r="D35" i="4" s="1"/>
  <c r="D25" i="4"/>
  <c r="D28" i="4" s="1"/>
  <c r="D47" i="4" s="1"/>
  <c r="C9" i="1"/>
  <c r="C11" i="1" s="1"/>
  <c r="C15" i="1" s="1"/>
  <c r="C25" i="4"/>
  <c r="C41" i="4" s="1"/>
  <c r="C43" i="4" s="1"/>
  <c r="C44" i="4" s="1"/>
  <c r="C33" i="4"/>
  <c r="C35" i="4" s="1"/>
  <c r="E25" i="4"/>
  <c r="E33" i="4"/>
  <c r="E35" i="4" s="1"/>
  <c r="H11" i="4"/>
  <c r="L11" i="4"/>
  <c r="F11" i="4"/>
  <c r="I11" i="4"/>
  <c r="E10" i="4"/>
  <c r="G11" i="4"/>
  <c r="J11" i="4"/>
  <c r="D9" i="1"/>
  <c r="D11" i="1" s="1"/>
  <c r="D7" i="1"/>
  <c r="E7" i="1"/>
  <c r="F6" i="1"/>
  <c r="E9" i="1"/>
  <c r="E11" i="1" s="1"/>
  <c r="D69" i="4"/>
  <c r="D67" i="4"/>
  <c r="H69" i="4"/>
  <c r="L69" i="4"/>
  <c r="E73" i="4" s="1"/>
  <c r="E75" i="4" s="1"/>
  <c r="K69" i="4"/>
  <c r="D73" i="4" s="1"/>
  <c r="E69" i="4"/>
  <c r="I69" i="4"/>
  <c r="E36" i="4"/>
  <c r="E48" i="4"/>
  <c r="G69" i="4"/>
  <c r="F69" i="4"/>
  <c r="J69" i="4"/>
  <c r="C73" i="4" s="1"/>
  <c r="C75" i="4" s="1"/>
  <c r="D57" i="4"/>
  <c r="H57" i="4"/>
  <c r="L18" i="4"/>
  <c r="D41" i="4"/>
  <c r="D43" i="4" s="1"/>
  <c r="D75" i="4"/>
  <c r="F10" i="4"/>
  <c r="J10" i="4"/>
  <c r="E41" i="4"/>
  <c r="E43" i="4" s="1"/>
  <c r="F57" i="4"/>
  <c r="J57" i="4"/>
  <c r="E28" i="4"/>
  <c r="C10" i="4"/>
  <c r="G10" i="4"/>
  <c r="K10" i="4"/>
  <c r="F18" i="1" l="1"/>
  <c r="J18" i="1"/>
  <c r="I18" i="1"/>
  <c r="G18" i="1"/>
  <c r="H18" i="1"/>
  <c r="F14" i="1"/>
  <c r="F72" i="4"/>
  <c r="C28" i="4"/>
  <c r="C29" i="4" s="1"/>
  <c r="F25" i="4"/>
  <c r="F33" i="4"/>
  <c r="F35" i="4" s="1"/>
  <c r="D29" i="4"/>
  <c r="C47" i="4"/>
  <c r="C49" i="4"/>
  <c r="O11" i="4"/>
  <c r="N11" i="4"/>
  <c r="G6" i="1"/>
  <c r="F9" i="1"/>
  <c r="O10" i="4"/>
  <c r="N10" i="4"/>
  <c r="E47" i="4"/>
  <c r="E29" i="4"/>
  <c r="D36" i="4"/>
  <c r="D48" i="4"/>
  <c r="C48" i="4"/>
  <c r="C36" i="4"/>
  <c r="O67" i="4"/>
  <c r="N67" i="4"/>
  <c r="E49" i="4"/>
  <c r="E44" i="4"/>
  <c r="D49" i="4"/>
  <c r="D44" i="4"/>
  <c r="O69" i="4"/>
  <c r="N69" i="4"/>
  <c r="F80" i="4" l="1"/>
  <c r="F77" i="4" s="1"/>
  <c r="F12" i="1" s="1"/>
  <c r="F75" i="4"/>
  <c r="G72" i="4"/>
  <c r="G14" i="1"/>
  <c r="F48" i="4"/>
  <c r="F36" i="4"/>
  <c r="F10" i="1"/>
  <c r="F11" i="1" s="1"/>
  <c r="C50" i="4"/>
  <c r="F41" i="4"/>
  <c r="F43" i="4" s="1"/>
  <c r="F28" i="4"/>
  <c r="D50" i="4"/>
  <c r="G33" i="4"/>
  <c r="G35" i="4" s="1"/>
  <c r="G25" i="4"/>
  <c r="H6" i="1"/>
  <c r="G9" i="1"/>
  <c r="E50" i="4"/>
  <c r="H72" i="4" l="1"/>
  <c r="H14" i="1"/>
  <c r="D53" i="4"/>
  <c r="D13" i="1" s="1"/>
  <c r="D15" i="1" s="1"/>
  <c r="G75" i="4"/>
  <c r="G80" i="4"/>
  <c r="G77" i="4" s="1"/>
  <c r="G12" i="1" s="1"/>
  <c r="H33" i="4"/>
  <c r="H35" i="4" s="1"/>
  <c r="H25" i="4"/>
  <c r="F29" i="4"/>
  <c r="F47" i="4"/>
  <c r="G41" i="4"/>
  <c r="G43" i="4" s="1"/>
  <c r="G28" i="4"/>
  <c r="F49" i="4"/>
  <c r="F44" i="4"/>
  <c r="G10" i="1"/>
  <c r="G11" i="1" s="1"/>
  <c r="E53" i="4"/>
  <c r="E13" i="1" s="1"/>
  <c r="E15" i="1" s="1"/>
  <c r="G36" i="4"/>
  <c r="G48" i="4"/>
  <c r="I6" i="1"/>
  <c r="H9" i="1"/>
  <c r="I72" i="4" l="1"/>
  <c r="I14" i="1"/>
  <c r="F50" i="4"/>
  <c r="F53" i="4" s="1"/>
  <c r="F13" i="1" s="1"/>
  <c r="F15" i="1" s="1"/>
  <c r="F19" i="1" s="1"/>
  <c r="H80" i="4"/>
  <c r="H77" i="4" s="1"/>
  <c r="H12" i="1" s="1"/>
  <c r="H75" i="4"/>
  <c r="I25" i="4"/>
  <c r="I33" i="4"/>
  <c r="I35" i="4" s="1"/>
  <c r="G47" i="4"/>
  <c r="G50" i="4" s="1"/>
  <c r="G29" i="4"/>
  <c r="H28" i="4"/>
  <c r="H41" i="4"/>
  <c r="H43" i="4" s="1"/>
  <c r="H10" i="1"/>
  <c r="H11" i="1" s="1"/>
  <c r="G49" i="4"/>
  <c r="G44" i="4"/>
  <c r="H36" i="4"/>
  <c r="H48" i="4"/>
  <c r="J6" i="1"/>
  <c r="I9" i="1"/>
  <c r="J14" i="1" l="1"/>
  <c r="J72" i="4"/>
  <c r="I80" i="4"/>
  <c r="I77" i="4" s="1"/>
  <c r="I12" i="1" s="1"/>
  <c r="I75" i="4"/>
  <c r="G53" i="4"/>
  <c r="G13" i="1" s="1"/>
  <c r="G15" i="1" s="1"/>
  <c r="G19" i="1" s="1"/>
  <c r="I10" i="1"/>
  <c r="I11" i="1" s="1"/>
  <c r="J9" i="1"/>
  <c r="J25" i="4"/>
  <c r="J33" i="4"/>
  <c r="J35" i="4" s="1"/>
  <c r="H49" i="4"/>
  <c r="H44" i="4"/>
  <c r="I36" i="4"/>
  <c r="I48" i="4"/>
  <c r="H29" i="4"/>
  <c r="H47" i="4"/>
  <c r="I28" i="4"/>
  <c r="I41" i="4"/>
  <c r="I43" i="4" s="1"/>
  <c r="H50" i="4" l="1"/>
  <c r="H53" i="4" s="1"/>
  <c r="H13" i="1" s="1"/>
  <c r="H15" i="1" s="1"/>
  <c r="H19" i="1" s="1"/>
  <c r="J80" i="4"/>
  <c r="J77" i="4" s="1"/>
  <c r="J12" i="1" s="1"/>
  <c r="J75" i="4"/>
  <c r="I29" i="4"/>
  <c r="I47" i="4"/>
  <c r="J10" i="1"/>
  <c r="J11" i="1" s="1"/>
  <c r="J41" i="4"/>
  <c r="J43" i="4" s="1"/>
  <c r="J28" i="4"/>
  <c r="I49" i="4"/>
  <c r="I44" i="4"/>
  <c r="J48" i="4"/>
  <c r="J36" i="4"/>
  <c r="J47" i="4" l="1"/>
  <c r="J29" i="4"/>
  <c r="I50" i="4"/>
  <c r="I53" i="4" s="1"/>
  <c r="I13" i="1" s="1"/>
  <c r="I15" i="1" s="1"/>
  <c r="I19" i="1" s="1"/>
  <c r="J49" i="4"/>
  <c r="J44" i="4"/>
  <c r="J50" i="4" l="1"/>
  <c r="J53" i="4" s="1"/>
  <c r="J13" i="1" s="1"/>
  <c r="J15" i="1" s="1"/>
  <c r="J19" i="1" l="1"/>
  <c r="C23" i="1"/>
  <c r="C25" i="1" l="1"/>
  <c r="C26" i="1" s="1"/>
  <c r="C27" i="1"/>
  <c r="C28" i="1" l="1"/>
  <c r="C32" i="1" s="1"/>
  <c r="C34" i="1" s="1"/>
</calcChain>
</file>

<file path=xl/sharedStrings.xml><?xml version="1.0" encoding="utf-8"?>
<sst xmlns="http://schemas.openxmlformats.org/spreadsheetml/2006/main" count="344" uniqueCount="256">
  <si>
    <t>COMPANY NAME</t>
  </si>
  <si>
    <t>HINDUSTAN UNILEVER LTD</t>
  </si>
  <si>
    <t/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</si>
  <si>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</si>
  <si>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</si>
  <si>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</si>
  <si>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</si>
  <si>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</si>
  <si>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</si>
  <si>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</si>
  <si>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</si>
  <si>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</si>
  <si>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</si>
  <si>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</si>
  <si>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</si>
  <si>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</si>
  <si>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</si>
  <si>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</si>
  <si>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</si>
  <si>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</si>
  <si>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</si>
  <si>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</si>
  <si>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</si>
  <si>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</si>
  <si>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</si>
  <si>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</si>
  <si>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</si>
  <si>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</si>
  <si>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</si>
  <si>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</si>
  <si>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</si>
  <si>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</si>
  <si>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</si>
  <si>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</si>
  <si>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</si>
  <si>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</si>
  <si>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</si>
  <si>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</si>
  <si>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</si>
  <si>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</si>
  <si>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</si>
  <si>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</si>
  <si>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</si>
  <si>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</si>
  <si>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</si>
  <si>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</si>
  <si>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</si>
  <si>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</si>
  <si>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</si>
  <si>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</si>
  <si>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</si>
  <si>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</si>
  <si>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</si>
  <si>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</si>
  <si>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</si>
  <si>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</si>
  <si>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</si>
  <si>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Sales -</t>
  </si>
  <si>
    <t>Sales Growth %</t>
  </si>
  <si>
    <t>Expenses -</t>
  </si>
  <si>
    <t>Material Cost % +</t>
  </si>
  <si>
    <t>Manufacturing Cost %</t>
  </si>
  <si>
    <t>Employee Cost %</t>
  </si>
  <si>
    <t>Other Cost %</t>
  </si>
  <si>
    <t>OPM %</t>
  </si>
  <si>
    <t>Other Income -</t>
  </si>
  <si>
    <t>Exceptional items</t>
  </si>
  <si>
    <t>Other income normal</t>
  </si>
  <si>
    <t>Tax %</t>
  </si>
  <si>
    <t>Net Profit +</t>
  </si>
  <si>
    <t>EPS in Rs</t>
  </si>
  <si>
    <t>Dividend Payout %</t>
  </si>
  <si>
    <t>Equity Capital</t>
  </si>
  <si>
    <t>Long term Borrowings</t>
  </si>
  <si>
    <t>Short term Borrowings</t>
  </si>
  <si>
    <t>Lease Liabilities</t>
  </si>
  <si>
    <t>Non controlling int</t>
  </si>
  <si>
    <t>Trade Payables</t>
  </si>
  <si>
    <t>Advance from Customers</t>
  </si>
  <si>
    <t>Other liability items</t>
  </si>
  <si>
    <t>Total Liabilities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</si>
  <si>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</si>
  <si>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</si>
  <si>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</si>
  <si>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</si>
  <si>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</si>
  <si>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</si>
  <si>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</si>
  <si>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</si>
  <si>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</si>
  <si>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</si>
  <si>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</si>
  <si>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</si>
  <si>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Inventories</t>
  </si>
  <si>
    <t>Cash Equivalents</t>
  </si>
  <si>
    <t>Loans n Advances</t>
  </si>
  <si>
    <t>Other asset items</t>
  </si>
  <si>
    <t>Total Assets</t>
  </si>
  <si>
    <t>Borrowings -</t>
  </si>
  <si>
    <t>Other Liabilities -</t>
  </si>
  <si>
    <t>Fixed Assets -</t>
  </si>
  <si>
    <t>Other Assets -</t>
  </si>
  <si>
    <t>Trade receivables +</t>
  </si>
  <si>
    <t xml:space="preserve">Balance sheet </t>
  </si>
  <si>
    <t>Cash Flow Statement</t>
  </si>
  <si>
    <t>Cash from Operating Activity -</t>
  </si>
  <si>
    <t>Profit from operations</t>
  </si>
  <si>
    <t>Payables</t>
  </si>
  <si>
    <t>Loans Advances</t>
  </si>
  <si>
    <t>Operating Deposits</t>
  </si>
  <si>
    <t>Other WC items</t>
  </si>
  <si>
    <t>Working capital changes</t>
  </si>
  <si>
    <t>Direct taxes</t>
  </si>
  <si>
    <t>Other operating items</t>
  </si>
  <si>
    <t>Exceptional CF items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</si>
  <si>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</si>
  <si>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</si>
  <si>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</si>
  <si>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</si>
  <si>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</si>
  <si>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</si>
  <si>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</si>
  <si>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</si>
  <si>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Loans to subsidiaries</t>
  </si>
  <si>
    <t>Redemp n Canc of Shares</t>
  </si>
  <si>
    <t>Acquisition of companies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</si>
  <si>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</si>
  <si>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</si>
  <si>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</si>
  <si>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</si>
  <si>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</si>
  <si>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</si>
  <si>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</si>
  <si>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</si>
  <si>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</si>
  <si>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Ratios</t>
  </si>
  <si>
    <t>Debtor Days</t>
  </si>
  <si>
    <t>Inventory Days</t>
  </si>
  <si>
    <t>Days Payable</t>
  </si>
  <si>
    <t>Cash Conversion Cycle</t>
  </si>
  <si>
    <t>Working Capital Days</t>
  </si>
  <si>
    <t>ROCE %</t>
  </si>
  <si>
    <t>DCF Valuation of Maruti Suzuki</t>
  </si>
  <si>
    <t xml:space="preserve">Historical Growth </t>
  </si>
  <si>
    <t>Explicit Growth</t>
  </si>
  <si>
    <t xml:space="preserve">Particulars </t>
  </si>
  <si>
    <t xml:space="preserve">Sales </t>
  </si>
  <si>
    <t>Sales % Growth</t>
  </si>
  <si>
    <t>EBIT Margin</t>
  </si>
  <si>
    <t xml:space="preserve">EBIT </t>
  </si>
  <si>
    <t xml:space="preserve">Less: Actual Tax </t>
  </si>
  <si>
    <t>NOPAT</t>
  </si>
  <si>
    <t>Less:Capex</t>
  </si>
  <si>
    <t>Add: Change in Working Cap</t>
  </si>
  <si>
    <t>Free Casf Flow to Firm</t>
  </si>
  <si>
    <t>Discounting Period (Years)</t>
  </si>
  <si>
    <t>Present Value Factor</t>
  </si>
  <si>
    <t>Present Value of FCFF</t>
  </si>
  <si>
    <t>DCF Valuation of Maruti Suzuki India Ltd</t>
  </si>
  <si>
    <t>Terminal Value of FCFF</t>
  </si>
  <si>
    <t>Terminal Year Growth Rate</t>
  </si>
  <si>
    <t>Value of Terminal CF at 5th Yr</t>
  </si>
  <si>
    <t>PV of Terminal CF</t>
  </si>
  <si>
    <t>Pv of Forecasted CF</t>
  </si>
  <si>
    <t>Firm Value/Enterprise Value</t>
  </si>
  <si>
    <t>Equity Value</t>
  </si>
  <si>
    <t>No Eq Shares</t>
  </si>
  <si>
    <t>Equity Value Per Share</t>
  </si>
  <si>
    <t>Current Market Price</t>
  </si>
  <si>
    <t>Verdict</t>
  </si>
  <si>
    <t xml:space="preserve">Forecasting </t>
  </si>
  <si>
    <t>Particulars</t>
  </si>
  <si>
    <t xml:space="preserve">Median </t>
  </si>
  <si>
    <t>Mean</t>
  </si>
  <si>
    <t>EBIT</t>
  </si>
  <si>
    <t>Actual Tax Payment</t>
  </si>
  <si>
    <t xml:space="preserve">Tax % Sales </t>
  </si>
  <si>
    <t>Tax % EBIT</t>
  </si>
  <si>
    <t>Marginal Tax Rate</t>
  </si>
  <si>
    <t>Forecasting Working Capital</t>
  </si>
  <si>
    <t>Payble Days</t>
  </si>
  <si>
    <t>Debtors Day Analysis</t>
  </si>
  <si>
    <t>Days Debtor Days</t>
  </si>
  <si>
    <t xml:space="preserve">Debtor Days in Year </t>
  </si>
  <si>
    <t>Average Debtors</t>
  </si>
  <si>
    <t xml:space="preserve">Average Debtors % Sales </t>
  </si>
  <si>
    <t>Inventory Day Analysis</t>
  </si>
  <si>
    <t xml:space="preserve">Inventory Days in Year </t>
  </si>
  <si>
    <t xml:space="preserve">Debtors % Sales </t>
  </si>
  <si>
    <t>Payble Day Analysis</t>
  </si>
  <si>
    <t xml:space="preserve">Payble Days in Year </t>
  </si>
  <si>
    <t>Average Payble</t>
  </si>
  <si>
    <t>Payble % Sales</t>
  </si>
  <si>
    <t>Average Inventory</t>
  </si>
  <si>
    <t>Working Capital</t>
  </si>
  <si>
    <t>Change in Working Capital</t>
  </si>
  <si>
    <t>Forecasting - Capex</t>
  </si>
  <si>
    <t>Net Capex</t>
  </si>
  <si>
    <t>Net Fixed Asset</t>
  </si>
  <si>
    <t xml:space="preserve">Change in Sales to Change in Fixed Asset </t>
  </si>
  <si>
    <t>Fixed Asset Turnover Ratio</t>
  </si>
  <si>
    <t>Gross Fixed Aasset</t>
  </si>
  <si>
    <t>Capex Considered</t>
  </si>
  <si>
    <t>Depreciation % Sales</t>
  </si>
  <si>
    <t xml:space="preserve">Depreciation </t>
  </si>
  <si>
    <t>Upper 95.0%</t>
  </si>
  <si>
    <t>Derreciation % sales</t>
  </si>
  <si>
    <t>Fixed to Turnover ratio</t>
  </si>
  <si>
    <t>Add: Depreciation</t>
  </si>
  <si>
    <t xml:space="preserve">Cost of Capital </t>
  </si>
  <si>
    <t>WACC Calculation-Maruti Suzuki India Ltd.</t>
  </si>
  <si>
    <t>Values</t>
  </si>
  <si>
    <t xml:space="preserve">Source </t>
  </si>
  <si>
    <t>Risk Free Rate</t>
  </si>
  <si>
    <t>10Y Govt Bond Yield-investing.com</t>
  </si>
  <si>
    <t>Equity Risk Premium</t>
  </si>
  <si>
    <t>Rm-Rf-3Y Period</t>
  </si>
  <si>
    <t>Regression based Beta</t>
  </si>
  <si>
    <t xml:space="preserve">Cost of Equity </t>
  </si>
  <si>
    <t>Calculated using CAPM Approach</t>
  </si>
  <si>
    <t xml:space="preserve">Corporate Credit Rating </t>
  </si>
  <si>
    <t>AAA</t>
  </si>
  <si>
    <t>Latest Crisil Rating Report</t>
  </si>
  <si>
    <t xml:space="preserve">Corporate Default Spread </t>
  </si>
  <si>
    <t>Excess returns over riskfree rate by Golden PI</t>
  </si>
  <si>
    <t>Cost of Debt (Pre-Tax)</t>
  </si>
  <si>
    <t>Risk Free Rate + Default Spread</t>
  </si>
  <si>
    <t>Notified tax rate in Finanace bill, 2025</t>
  </si>
  <si>
    <t>Cost of Debt (Post-Tax)</t>
  </si>
  <si>
    <t>Post Tax Cost of Debt</t>
  </si>
  <si>
    <t>Debt to Equity Ratio</t>
  </si>
  <si>
    <t xml:space="preserve">Latest Financial </t>
  </si>
  <si>
    <t>Debt to Capital Ratio</t>
  </si>
  <si>
    <t xml:space="preserve">Weighted Average Cost of Capital </t>
  </si>
  <si>
    <t>Rough Work</t>
  </si>
  <si>
    <t>Nifty-  1-Apr-2022</t>
  </si>
  <si>
    <t>Nifty-28 Mar 20225</t>
  </si>
  <si>
    <t>CAGR Return (Rm)</t>
  </si>
  <si>
    <t>Rf</t>
  </si>
  <si>
    <t>ERP (Rm-Rf)</t>
  </si>
  <si>
    <t>Golden Pi</t>
  </si>
  <si>
    <t xml:space="preserve">AAA Rated Bonds Median </t>
  </si>
  <si>
    <t>10Yr Bond Govt Rate</t>
  </si>
  <si>
    <t>Date</t>
  </si>
  <si>
    <t xml:space="preserve">HUL </t>
  </si>
  <si>
    <t>Return</t>
  </si>
  <si>
    <t>Beta</t>
  </si>
  <si>
    <t>Beta (3Y-Daily)</t>
  </si>
  <si>
    <t>Less: Value of Stock options/ Warrants</t>
  </si>
  <si>
    <t>Market Price on 03 Oct 2025</t>
  </si>
  <si>
    <t>Undervalue</t>
  </si>
  <si>
    <t>Less:Value of Debt</t>
  </si>
  <si>
    <t>Add: Cash &amp; Non operating Investment</t>
  </si>
  <si>
    <t>Intrinsic Value</t>
  </si>
  <si>
    <t xml:space="preserve">Beta Drifting 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</si>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</sst>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75" formatCode="0&quot;E&quot;"/>
    <numFmt numFmtId="182" formatCode="0\A"/>
    <numFmt numFmtId="185" formatCode="0.0%"/>
    <numFmt numFmtId="193" formatCode="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Arial Narrow"/>
      <family val="2"/>
    </font>
    <font>
      <sz val="11"/>
      <color rgb="FF22222F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4" fillId="2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1" fillId="0" borderId="0"/>
  </cellStyleXfs>
  <cellXfs count="133">
    <xf numFmtId="0" fontId="0" fillId="0" borderId="0" xfId="0"/>
    <xf numFmtId="0" fontId="5" fillId="0" borderId="0" xfId="2"/>
    <xf numFmtId="164" fontId="6" fillId="0" borderId="0" xfId="4" applyFont="1" applyBorder="1"/>
    <xf numFmtId="164" fontId="9" fillId="0" borderId="0" xfId="4" applyFont="1" applyBorder="1"/>
    <xf numFmtId="0" fontId="9" fillId="0" borderId="0" xfId="7" applyFont="1"/>
    <xf numFmtId="165" fontId="10" fillId="3" borderId="0" xfId="4" applyNumberFormat="1" applyFont="1" applyFill="1" applyBorder="1"/>
    <xf numFmtId="165" fontId="10" fillId="3" borderId="0" xfId="7" applyNumberFormat="1" applyFont="1" applyFill="1" applyAlignment="1">
      <alignment horizontal="center"/>
    </xf>
    <xf numFmtId="0" fontId="1" fillId="0" borderId="0" xfId="7"/>
    <xf numFmtId="9" fontId="9" fillId="0" borderId="0" xfId="8" applyFont="1" applyBorder="1"/>
    <xf numFmtId="0" fontId="11" fillId="0" borderId="0" xfId="9"/>
    <xf numFmtId="43" fontId="9" fillId="0" borderId="0" xfId="4" applyNumberFormat="1" applyFont="1" applyBorder="1"/>
    <xf numFmtId="164" fontId="8" fillId="0" borderId="0" xfId="5" applyNumberFormat="1" applyFont="1" applyBorder="1" applyAlignment="1" applyProtection="1">
      <alignment horizontal="center"/>
    </xf>
    <xf numFmtId="164" fontId="10" fillId="2" borderId="0" xfId="6" applyNumberFormat="1" applyFont="1" applyBorder="1" applyAlignment="1">
      <alignment horizontal="center"/>
    </xf>
    <xf numFmtId="17" fontId="0" fillId="0" borderId="0" xfId="0" applyNumberFormat="1"/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3" fontId="12" fillId="7" borderId="0" xfId="0" applyNumberFormat="1" applyFont="1" applyFill="1" applyAlignment="1">
      <alignment horizontal="right" vertical="center" wrapText="1"/>
    </xf>
    <xf numFmtId="0" fontId="12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right"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2" fillId="10" borderId="0" xfId="0" applyFont="1" applyFill="1"/>
    <xf numFmtId="182" fontId="2" fillId="10" borderId="0" xfId="0" applyNumberFormat="1" applyFont="1" applyFill="1"/>
    <xf numFmtId="175" fontId="2" fillId="10" borderId="0" xfId="0" applyNumberFormat="1" applyFont="1" applyFill="1"/>
    <xf numFmtId="10" fontId="0" fillId="0" borderId="0" xfId="1" applyNumberFormat="1" applyFont="1"/>
    <xf numFmtId="0" fontId="0" fillId="0" borderId="2" xfId="0" applyBorder="1"/>
    <xf numFmtId="3" fontId="3" fillId="0" borderId="3" xfId="0" applyNumberFormat="1" applyFont="1" applyBorder="1"/>
    <xf numFmtId="3" fontId="0" fillId="0" borderId="3" xfId="0" applyNumberFormat="1" applyBorder="1"/>
    <xf numFmtId="10" fontId="3" fillId="6" borderId="0" xfId="1" applyNumberFormat="1" applyFont="1" applyFill="1" applyBorder="1"/>
    <xf numFmtId="3" fontId="0" fillId="0" borderId="0" xfId="0" applyNumberFormat="1" applyBorder="1"/>
    <xf numFmtId="17" fontId="2" fillId="10" borderId="0" xfId="0" applyNumberFormat="1" applyFont="1" applyFill="1"/>
    <xf numFmtId="17" fontId="2" fillId="0" borderId="0" xfId="0" applyNumberFormat="1" applyFont="1" applyFill="1"/>
    <xf numFmtId="3" fontId="0" fillId="0" borderId="2" xfId="0" applyNumberFormat="1" applyBorder="1"/>
    <xf numFmtId="10" fontId="3" fillId="11" borderId="0" xfId="1" applyNumberFormat="1" applyFont="1" applyFill="1"/>
    <xf numFmtId="1" fontId="0" fillId="0" borderId="0" xfId="0" applyNumberFormat="1"/>
    <xf numFmtId="1" fontId="3" fillId="0" borderId="0" xfId="0" applyNumberFormat="1" applyFont="1"/>
    <xf numFmtId="0" fontId="0" fillId="12" borderId="0" xfId="0" applyFont="1" applyFill="1"/>
    <xf numFmtId="1" fontId="0" fillId="6" borderId="0" xfId="0" applyNumberFormat="1" applyFill="1"/>
    <xf numFmtId="0" fontId="0" fillId="0" borderId="0" xfId="0" applyBorder="1"/>
    <xf numFmtId="0" fontId="3" fillId="0" borderId="3" xfId="0" applyFont="1" applyBorder="1"/>
    <xf numFmtId="0" fontId="3" fillId="0" borderId="0" xfId="0" applyFont="1" applyBorder="1"/>
    <xf numFmtId="10" fontId="3" fillId="0" borderId="0" xfId="1" applyNumberFormat="1" applyFont="1"/>
    <xf numFmtId="1" fontId="3" fillId="0" borderId="3" xfId="0" applyNumberFormat="1" applyFont="1" applyBorder="1"/>
    <xf numFmtId="0" fontId="0" fillId="0" borderId="0" xfId="0" applyFont="1"/>
    <xf numFmtId="3" fontId="3" fillId="0" borderId="0" xfId="0" applyNumberFormat="1" applyFont="1"/>
    <xf numFmtId="2" fontId="0" fillId="0" borderId="0" xfId="0" applyNumberFormat="1"/>
    <xf numFmtId="185" fontId="0" fillId="0" borderId="0" xfId="1" applyNumberFormat="1" applyFont="1"/>
    <xf numFmtId="0" fontId="0" fillId="0" borderId="0" xfId="0" applyFill="1" applyBorder="1" applyAlignment="1"/>
    <xf numFmtId="0" fontId="0" fillId="0" borderId="2" xfId="0" applyFill="1" applyBorder="1" applyAlignment="1"/>
    <xf numFmtId="0" fontId="13" fillId="0" borderId="4" xfId="0" applyFont="1" applyFill="1" applyBorder="1" applyAlignment="1">
      <alignment horizontal="center"/>
    </xf>
    <xf numFmtId="185" fontId="0" fillId="0" borderId="0" xfId="0" applyNumberFormat="1"/>
    <xf numFmtId="0" fontId="2" fillId="10" borderId="2" xfId="0" applyFont="1" applyFill="1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14" fillId="0" borderId="5" xfId="0" applyFont="1" applyBorder="1"/>
    <xf numFmtId="10" fontId="0" fillId="0" borderId="5" xfId="0" applyNumberFormat="1" applyBorder="1" applyAlignment="1">
      <alignment horizontal="center"/>
    </xf>
    <xf numFmtId="0" fontId="13" fillId="0" borderId="5" xfId="0" applyFont="1" applyBorder="1"/>
    <xf numFmtId="2" fontId="0" fillId="0" borderId="5" xfId="0" applyNumberFormat="1" applyBorder="1" applyAlignment="1">
      <alignment horizontal="center"/>
    </xf>
    <xf numFmtId="10" fontId="3" fillId="0" borderId="5" xfId="1" applyNumberFormat="1" applyFont="1" applyBorder="1" applyAlignment="1">
      <alignment horizontal="center"/>
    </xf>
    <xf numFmtId="10" fontId="0" fillId="0" borderId="5" xfId="1" applyNumberFormat="1" applyFont="1" applyBorder="1" applyAlignment="1">
      <alignment horizontal="center"/>
    </xf>
    <xf numFmtId="10" fontId="3" fillId="0" borderId="5" xfId="0" applyNumberFormat="1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5" xfId="0" applyFont="1" applyBorder="1"/>
    <xf numFmtId="0" fontId="3" fillId="8" borderId="6" xfId="0" applyFont="1" applyFill="1" applyBorder="1" applyAlignment="1">
      <alignment horizontal="left"/>
    </xf>
    <xf numFmtId="0" fontId="3" fillId="8" borderId="7" xfId="0" applyFont="1" applyFill="1" applyBorder="1" applyAlignment="1">
      <alignment horizontal="left"/>
    </xf>
    <xf numFmtId="0" fontId="0" fillId="0" borderId="8" xfId="0" applyBorder="1"/>
    <xf numFmtId="1" fontId="0" fillId="0" borderId="8" xfId="0" applyNumberFormat="1" applyBorder="1" applyAlignment="1"/>
    <xf numFmtId="0" fontId="0" fillId="0" borderId="8" xfId="0" applyBorder="1" applyAlignment="1">
      <alignment horizontal="left"/>
    </xf>
    <xf numFmtId="10" fontId="0" fillId="0" borderId="8" xfId="1" applyNumberFormat="1" applyFont="1" applyBorder="1" applyAlignment="1"/>
    <xf numFmtId="10" fontId="0" fillId="0" borderId="8" xfId="0" applyNumberFormat="1" applyBorder="1" applyAlignment="1"/>
    <xf numFmtId="10" fontId="0" fillId="0" borderId="8" xfId="0" applyNumberFormat="1" applyBorder="1" applyAlignment="1">
      <alignment horizontal="right"/>
    </xf>
    <xf numFmtId="14" fontId="0" fillId="0" borderId="0" xfId="0" applyNumberFormat="1"/>
    <xf numFmtId="4" fontId="0" fillId="0" borderId="0" xfId="0" applyNumberFormat="1"/>
    <xf numFmtId="2" fontId="3" fillId="0" borderId="0" xfId="0" applyNumberFormat="1" applyFont="1"/>
    <xf numFmtId="3" fontId="0" fillId="0" borderId="9" xfId="0" applyNumberFormat="1" applyBorder="1"/>
    <xf numFmtId="3" fontId="0" fillId="12" borderId="0" xfId="0" applyNumberFormat="1" applyFont="1" applyFill="1" applyBorder="1"/>
    <xf numFmtId="4" fontId="0" fillId="12" borderId="0" xfId="0" applyNumberFormat="1" applyFont="1" applyFill="1" applyBorder="1"/>
    <xf numFmtId="3" fontId="0" fillId="12" borderId="9" xfId="0" applyNumberFormat="1" applyFont="1" applyFill="1" applyBorder="1"/>
    <xf numFmtId="10" fontId="0" fillId="0" borderId="0" xfId="1" applyNumberFormat="1" applyFont="1" applyBorder="1"/>
    <xf numFmtId="10" fontId="0" fillId="12" borderId="0" xfId="1" applyNumberFormat="1" applyFont="1" applyFill="1" applyBorder="1"/>
    <xf numFmtId="3" fontId="0" fillId="0" borderId="1" xfId="0" applyNumberFormat="1" applyBorder="1"/>
    <xf numFmtId="3" fontId="0" fillId="12" borderId="1" xfId="0" applyNumberFormat="1" applyFont="1" applyFill="1" applyBorder="1"/>
    <xf numFmtId="3" fontId="3" fillId="0" borderId="1" xfId="0" applyNumberFormat="1" applyFont="1" applyBorder="1"/>
    <xf numFmtId="3" fontId="3" fillId="12" borderId="1" xfId="0" applyNumberFormat="1" applyFont="1" applyFill="1" applyBorder="1"/>
    <xf numFmtId="0" fontId="3" fillId="13" borderId="12" xfId="0" applyFont="1" applyFill="1" applyBorder="1"/>
    <xf numFmtId="0" fontId="3" fillId="9" borderId="12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2" fillId="10" borderId="10" xfId="0" applyFont="1" applyFill="1" applyBorder="1"/>
    <xf numFmtId="182" fontId="2" fillId="10" borderId="10" xfId="0" applyNumberFormat="1" applyFont="1" applyFill="1" applyBorder="1"/>
    <xf numFmtId="175" fontId="2" fillId="10" borderId="10" xfId="0" applyNumberFormat="1" applyFont="1" applyFill="1" applyBorder="1"/>
    <xf numFmtId="0" fontId="0" fillId="0" borderId="10" xfId="0" applyBorder="1"/>
    <xf numFmtId="3" fontId="0" fillId="0" borderId="10" xfId="0" applyNumberFormat="1" applyBorder="1"/>
    <xf numFmtId="3" fontId="0" fillId="0" borderId="12" xfId="0" applyNumberFormat="1" applyBorder="1"/>
    <xf numFmtId="3" fontId="0" fillId="0" borderId="8" xfId="0" applyNumberFormat="1" applyBorder="1"/>
    <xf numFmtId="0" fontId="2" fillId="10" borderId="8" xfId="0" applyFont="1" applyFill="1" applyBorder="1" applyAlignment="1">
      <alignment horizontal="left"/>
    </xf>
    <xf numFmtId="10" fontId="0" fillId="0" borderId="8" xfId="0" applyNumberFormat="1" applyBorder="1"/>
    <xf numFmtId="0" fontId="3" fillId="0" borderId="8" xfId="0" applyFont="1" applyBorder="1"/>
    <xf numFmtId="3" fontId="3" fillId="0" borderId="8" xfId="0" applyNumberFormat="1" applyFont="1" applyBorder="1"/>
    <xf numFmtId="0" fontId="0" fillId="0" borderId="14" xfId="0" applyBorder="1"/>
    <xf numFmtId="3" fontId="0" fillId="0" borderId="14" xfId="0" applyNumberFormat="1" applyBorder="1"/>
    <xf numFmtId="0" fontId="3" fillId="0" borderId="13" xfId="0" applyFont="1" applyBorder="1"/>
    <xf numFmtId="3" fontId="3" fillId="0" borderId="13" xfId="0" applyNumberFormat="1" applyFont="1" applyBorder="1"/>
    <xf numFmtId="0" fontId="0" fillId="0" borderId="11" xfId="0" applyBorder="1"/>
    <xf numFmtId="0" fontId="3" fillId="6" borderId="16" xfId="0" applyFont="1" applyFill="1" applyBorder="1"/>
    <xf numFmtId="3" fontId="3" fillId="6" borderId="16" xfId="0" applyNumberFormat="1" applyFont="1" applyFill="1" applyBorder="1"/>
    <xf numFmtId="0" fontId="0" fillId="6" borderId="8" xfId="0" applyFill="1" applyBorder="1" applyAlignment="1">
      <alignment horizontal="right"/>
    </xf>
    <xf numFmtId="3" fontId="0" fillId="12" borderId="17" xfId="0" applyNumberFormat="1" applyFont="1" applyFill="1" applyBorder="1"/>
    <xf numFmtId="10" fontId="0" fillId="0" borderId="0" xfId="0" applyNumberFormat="1" applyBorder="1"/>
    <xf numFmtId="9" fontId="0" fillId="12" borderId="0" xfId="0" applyNumberFormat="1" applyFont="1" applyFill="1" applyBorder="1"/>
    <xf numFmtId="9" fontId="0" fillId="12" borderId="17" xfId="0" applyNumberFormat="1" applyFont="1" applyFill="1" applyBorder="1"/>
    <xf numFmtId="10" fontId="0" fillId="12" borderId="17" xfId="1" applyNumberFormat="1" applyFont="1" applyFill="1" applyBorder="1"/>
    <xf numFmtId="0" fontId="3" fillId="0" borderId="18" xfId="0" applyFont="1" applyFill="1" applyBorder="1"/>
    <xf numFmtId="3" fontId="0" fillId="12" borderId="19" xfId="0" applyNumberFormat="1" applyFont="1" applyFill="1" applyBorder="1"/>
    <xf numFmtId="0" fontId="0" fillId="0" borderId="11" xfId="0" applyFill="1" applyBorder="1"/>
    <xf numFmtId="3" fontId="3" fillId="12" borderId="19" xfId="0" applyNumberFormat="1" applyFont="1" applyFill="1" applyBorder="1"/>
    <xf numFmtId="0" fontId="0" fillId="0" borderId="11" xfId="0" applyFont="1" applyFill="1" applyBorder="1"/>
    <xf numFmtId="4" fontId="0" fillId="12" borderId="17" xfId="0" applyNumberFormat="1" applyFont="1" applyFill="1" applyBorder="1"/>
    <xf numFmtId="0" fontId="3" fillId="0" borderId="15" xfId="0" applyFont="1" applyFill="1" applyBorder="1"/>
    <xf numFmtId="3" fontId="0" fillId="12" borderId="20" xfId="0" applyNumberFormat="1" applyFont="1" applyFill="1" applyBorder="1"/>
    <xf numFmtId="0" fontId="15" fillId="0" borderId="11" xfId="0" applyFont="1" applyBorder="1"/>
    <xf numFmtId="193" fontId="0" fillId="12" borderId="0" xfId="0" applyNumberFormat="1" applyFont="1" applyFill="1" applyBorder="1"/>
    <xf numFmtId="0" fontId="0" fillId="0" borderId="12" xfId="0" applyBorder="1"/>
    <xf numFmtId="0" fontId="3" fillId="0" borderId="21" xfId="0" applyFont="1" applyBorder="1"/>
    <xf numFmtId="3" fontId="3" fillId="0" borderId="21" xfId="0" applyNumberFormat="1" applyFont="1" applyBorder="1"/>
    <xf numFmtId="193" fontId="0" fillId="12" borderId="17" xfId="0" applyNumberFormat="1" applyFont="1" applyFill="1" applyBorder="1"/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0">
    <cellStyle name="Accent6 2" xfId="6"/>
    <cellStyle name="Comma 2" xfId="4"/>
    <cellStyle name="Hyperlink 2" xfId="5"/>
    <cellStyle name="Normal" xfId="0" builtinId="0"/>
    <cellStyle name="Normal 2" xfId="9"/>
    <cellStyle name="Normal 3" xfId="7"/>
    <cellStyle name="Normal 4" xfId="2"/>
    <cellStyle name="Percent" xfId="1" builtinId="5"/>
    <cellStyle name="Percent 2" xfId="3"/>
    <cellStyle name="Percent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Maruti%20Suzuki%20DCF%20valu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A"/>
      <sheetName val="Raw Data"/>
      <sheetName val="Data Sheet "/>
      <sheetName val="Ratio Analysis"/>
      <sheetName val="Forecasting"/>
      <sheetName val="Beta drifting"/>
      <sheetName val="WACC"/>
      <sheetName val="Raw Data Beta"/>
      <sheetName val="DCF"/>
      <sheetName val="WACCC"/>
      <sheetName val="Forecasting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B5" t="str">
            <v xml:space="preserve">Sales 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6"/>
  <sheetViews>
    <sheetView showGridLines="0" topLeftCell="B9" zoomScaleNormal="100" workbookViewId="0">
      <selection activeCell="B21" sqref="B21:C36"/>
    </sheetView>
  </sheetViews>
  <sheetFormatPr defaultRowHeight="14.4" x14ac:dyDescent="0.3"/>
  <cols>
    <col min="1" max="1" width="2.33203125" customWidth="1"/>
    <col min="2" max="2" width="35.44140625" bestFit="1" customWidth="1"/>
    <col min="3" max="3" width="11.5546875" customWidth="1"/>
    <col min="4" max="4" width="8.88671875" customWidth="1"/>
    <col min="5" max="5" width="9.21875" customWidth="1"/>
    <col min="6" max="6" width="10.109375" customWidth="1"/>
    <col min="7" max="7" width="10.77734375" customWidth="1"/>
    <col min="12" max="12" width="10.5546875" bestFit="1" customWidth="1"/>
  </cols>
  <sheetData>
    <row r="3" spans="2:10" x14ac:dyDescent="0.3">
      <c r="B3" s="24" t="s">
        <v>142</v>
      </c>
      <c r="C3" s="20"/>
      <c r="D3" s="20"/>
    </row>
    <row r="4" spans="2:10" x14ac:dyDescent="0.3">
      <c r="B4" s="90"/>
      <c r="C4" s="91" t="s">
        <v>143</v>
      </c>
      <c r="D4" s="91"/>
      <c r="E4" s="91"/>
      <c r="F4" s="92" t="s">
        <v>144</v>
      </c>
      <c r="G4" s="92"/>
      <c r="H4" s="92"/>
      <c r="I4" s="92"/>
      <c r="J4" s="92"/>
    </row>
    <row r="5" spans="2:10" x14ac:dyDescent="0.3">
      <c r="B5" s="93" t="s">
        <v>145</v>
      </c>
      <c r="C5" s="94">
        <v>2023</v>
      </c>
      <c r="D5" s="94">
        <f>C5+1</f>
        <v>2024</v>
      </c>
      <c r="E5" s="94">
        <f>D5+1</f>
        <v>2025</v>
      </c>
      <c r="F5" s="95">
        <v>2026</v>
      </c>
      <c r="G5" s="95">
        <v>2027</v>
      </c>
      <c r="H5" s="95">
        <v>2028</v>
      </c>
      <c r="I5" s="95">
        <v>2029</v>
      </c>
      <c r="J5" s="95">
        <v>2030</v>
      </c>
    </row>
    <row r="6" spans="2:10" x14ac:dyDescent="0.3">
      <c r="B6" s="108" t="s">
        <v>146</v>
      </c>
      <c r="C6" s="32">
        <f>'Raw Data'!J5</f>
        <v>60580</v>
      </c>
      <c r="D6" s="32">
        <f>'Raw Data'!K5</f>
        <v>61896</v>
      </c>
      <c r="E6" s="32">
        <f>'Raw Data'!L5</f>
        <v>63121</v>
      </c>
      <c r="F6" s="81">
        <f>E6*(1+F7)</f>
        <v>66277.05</v>
      </c>
      <c r="G6" s="81">
        <f t="shared" ref="G6:J6" si="0">F6*(1+G7)</f>
        <v>69590.902500000011</v>
      </c>
      <c r="H6" s="81">
        <f t="shared" si="0"/>
        <v>73070.447625000015</v>
      </c>
      <c r="I6" s="81">
        <f t="shared" si="0"/>
        <v>76723.97000625002</v>
      </c>
      <c r="J6" s="112">
        <f t="shared" si="0"/>
        <v>80560.168506562521</v>
      </c>
    </row>
    <row r="7" spans="2:10" x14ac:dyDescent="0.3">
      <c r="B7" s="108" t="s">
        <v>147</v>
      </c>
      <c r="C7" s="113"/>
      <c r="D7" s="84">
        <f>(D6-C6)/C6</f>
        <v>2.1723341036645756E-2</v>
      </c>
      <c r="E7" s="84">
        <f>(E6-D6)/D6</f>
        <v>1.9791262763344964E-2</v>
      </c>
      <c r="F7" s="114">
        <v>0.05</v>
      </c>
      <c r="G7" s="114">
        <v>0.05</v>
      </c>
      <c r="H7" s="114">
        <v>0.05</v>
      </c>
      <c r="I7" s="114">
        <v>0.05</v>
      </c>
      <c r="J7" s="115">
        <v>0.05</v>
      </c>
    </row>
    <row r="8" spans="2:10" x14ac:dyDescent="0.3">
      <c r="B8" s="108" t="s">
        <v>148</v>
      </c>
      <c r="C8" s="84">
        <f>'Raw Data'!J15</f>
        <v>0.21475734565863322</v>
      </c>
      <c r="D8" s="84">
        <f>'Raw Data'!K15</f>
        <v>0.21718689414501746</v>
      </c>
      <c r="E8" s="84">
        <f>'Raw Data'!L15</f>
        <v>0.21368482755342913</v>
      </c>
      <c r="F8" s="85">
        <v>0.21</v>
      </c>
      <c r="G8" s="85">
        <v>0.21</v>
      </c>
      <c r="H8" s="85">
        <v>0.21</v>
      </c>
      <c r="I8" s="85">
        <v>0.21</v>
      </c>
      <c r="J8" s="116">
        <v>0.21</v>
      </c>
    </row>
    <row r="9" spans="2:10" x14ac:dyDescent="0.3">
      <c r="B9" s="117" t="s">
        <v>149</v>
      </c>
      <c r="C9" s="86">
        <f>C6*C8</f>
        <v>13010</v>
      </c>
      <c r="D9" s="86">
        <f t="shared" ref="D9:E9" si="1">D6*D8</f>
        <v>13443</v>
      </c>
      <c r="E9" s="86">
        <f t="shared" si="1"/>
        <v>13488</v>
      </c>
      <c r="F9" s="87">
        <f>F6*F8</f>
        <v>13918.1805</v>
      </c>
      <c r="G9" s="87">
        <f t="shared" ref="G9:J9" si="2">G6*G8</f>
        <v>14614.089525000001</v>
      </c>
      <c r="H9" s="87">
        <f t="shared" si="2"/>
        <v>15344.794001250002</v>
      </c>
      <c r="I9" s="87">
        <f t="shared" si="2"/>
        <v>16112.033701312503</v>
      </c>
      <c r="J9" s="118">
        <f t="shared" si="2"/>
        <v>16917.63538637813</v>
      </c>
    </row>
    <row r="10" spans="2:10" x14ac:dyDescent="0.3">
      <c r="B10" s="119" t="s">
        <v>150</v>
      </c>
      <c r="C10" s="32">
        <f>Forecasting!J8</f>
        <v>3201</v>
      </c>
      <c r="D10" s="32">
        <f>Forecasting!K8</f>
        <v>3644</v>
      </c>
      <c r="E10" s="32">
        <f>Forecasting!L8</f>
        <v>3744</v>
      </c>
      <c r="F10" s="81">
        <f>F9*Forecasting!$C$13</f>
        <v>3763.4760072000004</v>
      </c>
      <c r="G10" s="81">
        <f>G9*Forecasting!$C$13</f>
        <v>3951.6498075600007</v>
      </c>
      <c r="H10" s="81">
        <f>H9*Forecasting!$C$13</f>
        <v>4149.2322979380015</v>
      </c>
      <c r="I10" s="81">
        <f>I9*Forecasting!$C$13</f>
        <v>4356.6939128349013</v>
      </c>
      <c r="J10" s="112">
        <f>J9*Forecasting!$C$13</f>
        <v>4574.5286084766467</v>
      </c>
    </row>
    <row r="11" spans="2:10" x14ac:dyDescent="0.3">
      <c r="B11" s="117" t="s">
        <v>151</v>
      </c>
      <c r="C11" s="88">
        <f>C9-C10</f>
        <v>9809</v>
      </c>
      <c r="D11" s="88">
        <f t="shared" ref="D11:J11" si="3">D9-D10</f>
        <v>9799</v>
      </c>
      <c r="E11" s="88">
        <f t="shared" si="3"/>
        <v>9744</v>
      </c>
      <c r="F11" s="89">
        <f t="shared" si="3"/>
        <v>10154.7044928</v>
      </c>
      <c r="G11" s="89">
        <f t="shared" si="3"/>
        <v>10662.43971744</v>
      </c>
      <c r="H11" s="89">
        <f t="shared" si="3"/>
        <v>11195.561703312</v>
      </c>
      <c r="I11" s="89">
        <f t="shared" si="3"/>
        <v>11755.339788477602</v>
      </c>
      <c r="J11" s="120">
        <f t="shared" si="3"/>
        <v>12343.106777901483</v>
      </c>
    </row>
    <row r="12" spans="2:10" x14ac:dyDescent="0.3">
      <c r="B12" s="119" t="s">
        <v>152</v>
      </c>
      <c r="C12" s="32">
        <f>-Forecasting!C77</f>
        <v>-1137</v>
      </c>
      <c r="D12" s="32">
        <f>-Forecasting!D77</f>
        <v>-1216</v>
      </c>
      <c r="E12" s="32">
        <f>-Forecasting!E77</f>
        <v>-1355</v>
      </c>
      <c r="F12" s="81">
        <f>-Forecasting!F77</f>
        <v>-1325.5410000000002</v>
      </c>
      <c r="G12" s="81">
        <f>-Forecasting!G77</f>
        <v>-1391.8180500000003</v>
      </c>
      <c r="H12" s="81">
        <f>-Forecasting!H77</f>
        <v>-1461.4089525000004</v>
      </c>
      <c r="I12" s="81">
        <f>-Forecasting!I77</f>
        <v>-1534.4794001250004</v>
      </c>
      <c r="J12" s="112">
        <f>-Forecasting!J77</f>
        <v>-1611.2033701312505</v>
      </c>
    </row>
    <row r="13" spans="2:10" x14ac:dyDescent="0.3">
      <c r="B13" s="121" t="s">
        <v>153</v>
      </c>
      <c r="C13" s="41"/>
      <c r="D13" s="32">
        <f>-Forecasting!D53</f>
        <v>3737.8082191780832</v>
      </c>
      <c r="E13" s="32">
        <f>-Forecasting!E53</f>
        <v>407.86575342465585</v>
      </c>
      <c r="F13" s="81">
        <f>-Forecasting!F53</f>
        <v>2429.7261643835609</v>
      </c>
      <c r="G13" s="81">
        <f>-Forecasting!G53</f>
        <v>735.40288356164638</v>
      </c>
      <c r="H13" s="81">
        <f>-Forecasting!H53</f>
        <v>772.17302773972733</v>
      </c>
      <c r="I13" s="81">
        <f>-Forecasting!I53</f>
        <v>810.78167912671415</v>
      </c>
      <c r="J13" s="112">
        <f>-Forecasting!J53</f>
        <v>851.32076308304386</v>
      </c>
    </row>
    <row r="14" spans="2:10" x14ac:dyDescent="0.3">
      <c r="B14" s="119" t="s">
        <v>208</v>
      </c>
      <c r="C14" s="32">
        <f>'Raw Data'!J20</f>
        <v>1137</v>
      </c>
      <c r="D14" s="32">
        <f>'Raw Data'!K20</f>
        <v>1216</v>
      </c>
      <c r="E14" s="32">
        <f>'Raw Data'!L20</f>
        <v>1355</v>
      </c>
      <c r="F14" s="81">
        <f>2%*F6</f>
        <v>1325.5410000000002</v>
      </c>
      <c r="G14" s="81">
        <f t="shared" ref="G14:J14" si="4">2%*G6</f>
        <v>1391.8180500000003</v>
      </c>
      <c r="H14" s="81">
        <f t="shared" si="4"/>
        <v>1461.4089525000004</v>
      </c>
      <c r="I14" s="81">
        <f t="shared" si="4"/>
        <v>1534.4794001250004</v>
      </c>
      <c r="J14" s="112">
        <f t="shared" si="4"/>
        <v>1611.2033701312505</v>
      </c>
    </row>
    <row r="15" spans="2:10" x14ac:dyDescent="0.3">
      <c r="B15" s="117" t="s">
        <v>154</v>
      </c>
      <c r="C15" s="86">
        <f>SUM(C11:C14)</f>
        <v>9809</v>
      </c>
      <c r="D15" s="86">
        <f t="shared" ref="D15:J15" si="5">SUM(D11:D14)</f>
        <v>13536.808219178083</v>
      </c>
      <c r="E15" s="86">
        <f t="shared" si="5"/>
        <v>10151.865753424656</v>
      </c>
      <c r="F15" s="87">
        <f t="shared" si="5"/>
        <v>12584.430657183559</v>
      </c>
      <c r="G15" s="87">
        <f t="shared" si="5"/>
        <v>11397.842601001646</v>
      </c>
      <c r="H15" s="87">
        <f t="shared" si="5"/>
        <v>11967.734731051727</v>
      </c>
      <c r="I15" s="87">
        <f t="shared" si="5"/>
        <v>12566.121467604316</v>
      </c>
      <c r="J15" s="118">
        <f t="shared" si="5"/>
        <v>13194.427540984527</v>
      </c>
    </row>
    <row r="16" spans="2:10" x14ac:dyDescent="0.3">
      <c r="B16" s="121" t="s">
        <v>209</v>
      </c>
      <c r="C16" s="31">
        <f>'WACC '!C17</f>
        <v>8.2105019279030453E-2</v>
      </c>
      <c r="D16" s="32"/>
      <c r="E16" s="32"/>
      <c r="F16" s="81"/>
      <c r="G16" s="81"/>
      <c r="H16" s="81"/>
      <c r="I16" s="81"/>
      <c r="J16" s="112"/>
    </row>
    <row r="17" spans="2:10" x14ac:dyDescent="0.3">
      <c r="B17" s="121" t="s">
        <v>155</v>
      </c>
      <c r="C17" s="32"/>
      <c r="D17" s="32"/>
      <c r="E17" s="32"/>
      <c r="F17" s="82">
        <v>1</v>
      </c>
      <c r="G17" s="126">
        <f>F17+1</f>
        <v>2</v>
      </c>
      <c r="H17" s="126">
        <f t="shared" ref="H17:J17" si="6">G17+1</f>
        <v>3</v>
      </c>
      <c r="I17" s="126">
        <f t="shared" si="6"/>
        <v>4</v>
      </c>
      <c r="J17" s="130">
        <f t="shared" si="6"/>
        <v>5</v>
      </c>
    </row>
    <row r="18" spans="2:10" ht="15" thickBot="1" x14ac:dyDescent="0.35">
      <c r="B18" s="121" t="s">
        <v>156</v>
      </c>
      <c r="C18" s="32"/>
      <c r="D18" s="32"/>
      <c r="E18" s="32"/>
      <c r="F18" s="82">
        <f>1/(1+$C$16)^F17</f>
        <v>0.92412472189276584</v>
      </c>
      <c r="G18" s="82">
        <f t="shared" ref="G18:J18" si="7">1/(1+$C$16)^G17</f>
        <v>0.85400650161338176</v>
      </c>
      <c r="H18" s="82">
        <f t="shared" si="7"/>
        <v>0.78920852079808024</v>
      </c>
      <c r="I18" s="82">
        <f t="shared" si="7"/>
        <v>0.72932710479792706</v>
      </c>
      <c r="J18" s="122">
        <f t="shared" si="7"/>
        <v>0.6739892078902403</v>
      </c>
    </row>
    <row r="19" spans="2:10" ht="15" thickBot="1" x14ac:dyDescent="0.35">
      <c r="B19" s="123" t="s">
        <v>157</v>
      </c>
      <c r="C19" s="80"/>
      <c r="D19" s="80"/>
      <c r="E19" s="80"/>
      <c r="F19" s="83">
        <f>F15*F18</f>
        <v>11629.583481248552</v>
      </c>
      <c r="G19" s="83">
        <f t="shared" ref="G19:J19" si="8">G15*G18</f>
        <v>9733.8316856213842</v>
      </c>
      <c r="H19" s="83">
        <f t="shared" si="8"/>
        <v>9445.0382243971435</v>
      </c>
      <c r="I19" s="83">
        <f t="shared" si="8"/>
        <v>9164.8129885069338</v>
      </c>
      <c r="J19" s="124">
        <f t="shared" si="8"/>
        <v>8892.9017669133318</v>
      </c>
    </row>
    <row r="20" spans="2:10" x14ac:dyDescent="0.3">
      <c r="F20" s="14"/>
    </row>
    <row r="21" spans="2:10" x14ac:dyDescent="0.3">
      <c r="B21" s="100" t="s">
        <v>158</v>
      </c>
      <c r="C21" s="100"/>
      <c r="D21" s="108"/>
    </row>
    <row r="22" spans="2:10" x14ac:dyDescent="0.3">
      <c r="B22" s="71"/>
      <c r="C22" s="71"/>
      <c r="D22" s="108"/>
    </row>
    <row r="23" spans="2:10" x14ac:dyDescent="0.3">
      <c r="B23" s="102" t="s">
        <v>159</v>
      </c>
      <c r="C23" s="103">
        <f>J15</f>
        <v>13194.427540984527</v>
      </c>
      <c r="D23" s="108"/>
    </row>
    <row r="24" spans="2:10" x14ac:dyDescent="0.3">
      <c r="B24" s="71" t="s">
        <v>160</v>
      </c>
      <c r="C24" s="101">
        <v>0.06</v>
      </c>
      <c r="D24" s="108"/>
    </row>
    <row r="25" spans="2:10" x14ac:dyDescent="0.3">
      <c r="B25" s="102" t="s">
        <v>161</v>
      </c>
      <c r="C25" s="103">
        <f>(C23*(1+C24))/(C16-C24)</f>
        <v>632711.19635309547</v>
      </c>
      <c r="D25" s="108"/>
    </row>
    <row r="26" spans="2:10" x14ac:dyDescent="0.3">
      <c r="B26" s="71" t="s">
        <v>162</v>
      </c>
      <c r="C26" s="99">
        <f>C25*J18</f>
        <v>426440.51805330912</v>
      </c>
      <c r="D26" s="108"/>
    </row>
    <row r="27" spans="2:10" ht="15" thickBot="1" x14ac:dyDescent="0.35">
      <c r="B27" s="127" t="s">
        <v>163</v>
      </c>
      <c r="C27" s="98">
        <f>SUM(F19:J19)</f>
        <v>48866.168146687342</v>
      </c>
      <c r="D27" s="108"/>
    </row>
    <row r="28" spans="2:10" x14ac:dyDescent="0.3">
      <c r="B28" s="128" t="s">
        <v>164</v>
      </c>
      <c r="C28" s="129">
        <f>SUM(C26:C27)</f>
        <v>475306.68619999645</v>
      </c>
      <c r="D28" s="108"/>
    </row>
    <row r="29" spans="2:10" x14ac:dyDescent="0.3">
      <c r="B29" s="71" t="s">
        <v>251</v>
      </c>
      <c r="C29" s="99">
        <f>-1648</f>
        <v>-1648</v>
      </c>
      <c r="D29" s="108"/>
    </row>
    <row r="30" spans="2:10" x14ac:dyDescent="0.3">
      <c r="B30" s="71" t="s">
        <v>252</v>
      </c>
      <c r="C30" s="99">
        <f>7554+242+4679</f>
        <v>12475</v>
      </c>
      <c r="D30" s="108"/>
    </row>
    <row r="31" spans="2:10" x14ac:dyDescent="0.3">
      <c r="B31" s="71" t="s">
        <v>248</v>
      </c>
      <c r="C31" s="99">
        <f>-55.2</f>
        <v>-55.2</v>
      </c>
      <c r="D31" s="108"/>
    </row>
    <row r="32" spans="2:10" ht="15" thickBot="1" x14ac:dyDescent="0.35">
      <c r="B32" s="106" t="s">
        <v>165</v>
      </c>
      <c r="C32" s="107">
        <f>SUM(C28:C31)</f>
        <v>486078.48619999643</v>
      </c>
      <c r="D32" s="108"/>
    </row>
    <row r="33" spans="2:4" ht="15" thickBot="1" x14ac:dyDescent="0.35">
      <c r="B33" s="96" t="s">
        <v>166</v>
      </c>
      <c r="C33" s="97">
        <f>235</f>
        <v>235</v>
      </c>
      <c r="D33" s="108"/>
    </row>
    <row r="34" spans="2:4" ht="15" thickBot="1" x14ac:dyDescent="0.35">
      <c r="B34" s="109" t="s">
        <v>167</v>
      </c>
      <c r="C34" s="110">
        <f>C32/C33</f>
        <v>2068.4190902127507</v>
      </c>
      <c r="D34" s="125" t="s">
        <v>253</v>
      </c>
    </row>
    <row r="35" spans="2:4" x14ac:dyDescent="0.3">
      <c r="B35" s="104" t="s">
        <v>168</v>
      </c>
      <c r="C35" s="105">
        <f>2545</f>
        <v>2545</v>
      </c>
      <c r="D35" s="125" t="s">
        <v>249</v>
      </c>
    </row>
    <row r="36" spans="2:4" x14ac:dyDescent="0.3">
      <c r="B36" s="71" t="s">
        <v>169</v>
      </c>
      <c r="C36" s="111" t="s">
        <v>250</v>
      </c>
      <c r="D36" s="108"/>
    </row>
  </sheetData>
  <mergeCells count="3">
    <mergeCell ref="C4:E4"/>
    <mergeCell ref="F4:J4"/>
    <mergeCell ref="B21:C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0"/>
  <sheetViews>
    <sheetView showGridLines="0" tabSelected="1" topLeftCell="A17" workbookViewId="0">
      <selection activeCell="D30" sqref="D30"/>
    </sheetView>
  </sheetViews>
  <sheetFormatPr defaultRowHeight="14.4" x14ac:dyDescent="0.3"/>
  <cols>
    <col min="1" max="1" width="3.109375" customWidth="1"/>
    <col min="2" max="2" width="31" customWidth="1"/>
    <col min="3" max="3" width="12.44140625" customWidth="1"/>
    <col min="4" max="4" width="39.33203125" customWidth="1"/>
    <col min="5" max="5" width="8.88671875" customWidth="1"/>
    <col min="9" max="9" width="9.5546875" bestFit="1" customWidth="1"/>
  </cols>
  <sheetData>
    <row r="2" spans="2:9" ht="4.2" customHeight="1" x14ac:dyDescent="0.3"/>
    <row r="3" spans="2:9" ht="15" thickBot="1" x14ac:dyDescent="0.35">
      <c r="B3" s="54" t="s">
        <v>210</v>
      </c>
      <c r="C3" s="54"/>
      <c r="D3" s="54"/>
    </row>
    <row r="4" spans="2:9" ht="15" thickBot="1" x14ac:dyDescent="0.35">
      <c r="B4" s="55"/>
      <c r="C4" s="56"/>
      <c r="D4" s="55"/>
    </row>
    <row r="5" spans="2:9" ht="15" thickBot="1" x14ac:dyDescent="0.35">
      <c r="B5" s="57" t="s">
        <v>145</v>
      </c>
      <c r="C5" s="58" t="s">
        <v>211</v>
      </c>
      <c r="D5" s="59" t="s">
        <v>212</v>
      </c>
    </row>
    <row r="6" spans="2:9" ht="15" thickBot="1" x14ac:dyDescent="0.35">
      <c r="B6" s="55" t="s">
        <v>213</v>
      </c>
      <c r="C6" s="60">
        <v>6.5000000000000002E-2</v>
      </c>
      <c r="D6" s="61" t="s">
        <v>214</v>
      </c>
    </row>
    <row r="7" spans="2:9" ht="15" thickBot="1" x14ac:dyDescent="0.35">
      <c r="B7" s="55" t="s">
        <v>215</v>
      </c>
      <c r="C7" s="60">
        <f>C23-C6</f>
        <v>3.4999704569658563E-2</v>
      </c>
      <c r="D7" s="61" t="s">
        <v>216</v>
      </c>
    </row>
    <row r="8" spans="2:9" ht="15" thickBot="1" x14ac:dyDescent="0.35">
      <c r="B8" s="55" t="s">
        <v>247</v>
      </c>
      <c r="C8" s="62">
        <f>Sheet6!L5</f>
        <v>0.49106626893551558</v>
      </c>
      <c r="D8" s="61" t="s">
        <v>217</v>
      </c>
    </row>
    <row r="9" spans="2:9" ht="15" thickBot="1" x14ac:dyDescent="0.35">
      <c r="B9" s="57" t="s">
        <v>218</v>
      </c>
      <c r="C9" s="63">
        <f>C6+(C7*C8)</f>
        <v>8.2187174336867549E-2</v>
      </c>
      <c r="D9" s="61" t="s">
        <v>219</v>
      </c>
    </row>
    <row r="10" spans="2:9" ht="15" thickBot="1" x14ac:dyDescent="0.35">
      <c r="B10" s="55" t="s">
        <v>220</v>
      </c>
      <c r="C10" s="56" t="s">
        <v>221</v>
      </c>
      <c r="D10" s="61" t="s">
        <v>222</v>
      </c>
    </row>
    <row r="11" spans="2:9" ht="15" thickBot="1" x14ac:dyDescent="0.35">
      <c r="B11" s="55" t="s">
        <v>223</v>
      </c>
      <c r="C11" s="64">
        <f>C30</f>
        <v>9.999999999999995E-3</v>
      </c>
      <c r="D11" s="61" t="s">
        <v>224</v>
      </c>
    </row>
    <row r="12" spans="2:9" ht="15" thickBot="1" x14ac:dyDescent="0.35">
      <c r="B12" s="57" t="s">
        <v>225</v>
      </c>
      <c r="C12" s="65">
        <f>C28</f>
        <v>7.4999999999999997E-2</v>
      </c>
      <c r="D12" s="61" t="s">
        <v>226</v>
      </c>
    </row>
    <row r="13" spans="2:9" ht="15" thickBot="1" x14ac:dyDescent="0.35">
      <c r="B13" s="55" t="s">
        <v>178</v>
      </c>
      <c r="C13" s="66">
        <f>27.04%</f>
        <v>0.27039999999999997</v>
      </c>
      <c r="D13" s="61" t="s">
        <v>227</v>
      </c>
      <c r="I13" s="49"/>
    </row>
    <row r="14" spans="2:9" ht="15" thickBot="1" x14ac:dyDescent="0.35">
      <c r="B14" s="57" t="s">
        <v>228</v>
      </c>
      <c r="C14" s="63">
        <f>C12*(1-C13)</f>
        <v>5.4719999999999998E-2</v>
      </c>
      <c r="D14" s="61" t="s">
        <v>229</v>
      </c>
    </row>
    <row r="15" spans="2:9" ht="15" thickBot="1" x14ac:dyDescent="0.35">
      <c r="B15" s="55" t="s">
        <v>230</v>
      </c>
      <c r="C15" s="67">
        <f>0.3%</f>
        <v>3.0000000000000001E-3</v>
      </c>
      <c r="D15" s="61" t="s">
        <v>231</v>
      </c>
    </row>
    <row r="16" spans="2:9" ht="15" thickBot="1" x14ac:dyDescent="0.35">
      <c r="B16" s="68" t="s">
        <v>232</v>
      </c>
      <c r="C16" s="64">
        <f>C15/1.003</f>
        <v>2.9910269192422734E-3</v>
      </c>
      <c r="D16" s="61" t="s">
        <v>231</v>
      </c>
    </row>
    <row r="17" spans="2:4" ht="15" thickBot="1" x14ac:dyDescent="0.35">
      <c r="B17" s="57" t="s">
        <v>233</v>
      </c>
      <c r="C17" s="63">
        <f>(C14*C16)+(C9*(1-C16))</f>
        <v>8.2105019279030453E-2</v>
      </c>
      <c r="D17" s="61"/>
    </row>
    <row r="18" spans="2:4" x14ac:dyDescent="0.3">
      <c r="C18" s="21"/>
    </row>
    <row r="19" spans="2:4" x14ac:dyDescent="0.3">
      <c r="C19" s="21"/>
    </row>
    <row r="20" spans="2:4" x14ac:dyDescent="0.3">
      <c r="B20" s="69" t="s">
        <v>234</v>
      </c>
      <c r="C20" s="70"/>
    </row>
    <row r="21" spans="2:4" x14ac:dyDescent="0.3">
      <c r="B21" s="71" t="s">
        <v>235</v>
      </c>
      <c r="C21" s="72">
        <v>17670.45</v>
      </c>
    </row>
    <row r="22" spans="2:4" x14ac:dyDescent="0.3">
      <c r="B22" s="73" t="s">
        <v>236</v>
      </c>
      <c r="C22" s="72">
        <v>23519.35</v>
      </c>
    </row>
    <row r="23" spans="2:4" x14ac:dyDescent="0.3">
      <c r="B23" s="71" t="s">
        <v>237</v>
      </c>
      <c r="C23" s="74">
        <f>_xlfn.RRI(3,C21,C22)</f>
        <v>9.9999704569658565E-2</v>
      </c>
    </row>
    <row r="24" spans="2:4" x14ac:dyDescent="0.3">
      <c r="B24" s="71" t="s">
        <v>238</v>
      </c>
      <c r="C24" s="74">
        <v>6.5000000000000002E-2</v>
      </c>
    </row>
    <row r="25" spans="2:4" x14ac:dyDescent="0.3">
      <c r="B25" s="71" t="s">
        <v>239</v>
      </c>
      <c r="C25" s="75">
        <f>C23-C24</f>
        <v>3.4999704569658563E-2</v>
      </c>
    </row>
    <row r="26" spans="2:4" x14ac:dyDescent="0.3">
      <c r="C26" s="21"/>
    </row>
    <row r="27" spans="2:4" x14ac:dyDescent="0.3">
      <c r="B27" s="69" t="s">
        <v>240</v>
      </c>
      <c r="C27" s="70"/>
    </row>
    <row r="28" spans="2:4" x14ac:dyDescent="0.3">
      <c r="B28" s="71" t="s">
        <v>241</v>
      </c>
      <c r="C28" s="76">
        <v>7.4999999999999997E-2</v>
      </c>
    </row>
    <row r="29" spans="2:4" x14ac:dyDescent="0.3">
      <c r="B29" s="71" t="s">
        <v>242</v>
      </c>
      <c r="C29" s="76">
        <v>6.5000000000000002E-2</v>
      </c>
    </row>
    <row r="30" spans="2:4" x14ac:dyDescent="0.3">
      <c r="B30" s="71" t="s">
        <v>223</v>
      </c>
      <c r="C30" s="76">
        <f>C28-C29</f>
        <v>9.999999999999995E-3</v>
      </c>
    </row>
  </sheetData>
  <mergeCells count="3">
    <mergeCell ref="B3:D3"/>
    <mergeCell ref="B20:C20"/>
    <mergeCell ref="B27:C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46"/>
  <sheetViews>
    <sheetView workbookViewId="0">
      <selection activeCell="F19" sqref="F19"/>
    </sheetView>
  </sheetViews>
  <sheetFormatPr defaultRowHeight="14.4" x14ac:dyDescent="0.3"/>
  <cols>
    <col min="1" max="1" width="4.21875" customWidth="1"/>
    <col min="2" max="2" width="10.5546875" style="21" bestFit="1" customWidth="1"/>
    <col min="5" max="5" width="12.77734375" customWidth="1"/>
    <col min="6" max="6" width="14" customWidth="1"/>
    <col min="12" max="12" width="10.5546875" bestFit="1" customWidth="1"/>
  </cols>
  <sheetData>
    <row r="1" spans="2:12" x14ac:dyDescent="0.3">
      <c r="B1" s="131" t="s">
        <v>254</v>
      </c>
    </row>
    <row r="2" spans="2:12" x14ac:dyDescent="0.3">
      <c r="B2" s="131" t="s">
        <v>243</v>
      </c>
      <c r="C2" s="131" t="s">
        <v>244</v>
      </c>
      <c r="D2" s="131" t="s">
        <v>245</v>
      </c>
      <c r="E2" s="21"/>
      <c r="F2" s="131" t="s">
        <v>243</v>
      </c>
      <c r="G2" s="131" t="s">
        <v>255</v>
      </c>
      <c r="H2" s="131" t="s">
        <v>245</v>
      </c>
    </row>
    <row r="3" spans="2:12" x14ac:dyDescent="0.3">
      <c r="B3" s="132">
        <v>44652</v>
      </c>
      <c r="C3" s="78">
        <v>2078.15</v>
      </c>
      <c r="F3" s="77">
        <v>44652</v>
      </c>
      <c r="G3" s="78">
        <v>17670.45</v>
      </c>
    </row>
    <row r="4" spans="2:12" x14ac:dyDescent="0.3">
      <c r="B4" s="132">
        <v>44655</v>
      </c>
      <c r="C4" s="78">
        <v>2128.4499999999998</v>
      </c>
      <c r="D4" s="27">
        <f>(C4-C3)/C3</f>
        <v>2.4204220099607692E-2</v>
      </c>
      <c r="F4" s="77">
        <v>44655</v>
      </c>
      <c r="G4" s="78">
        <v>18053.400000000001</v>
      </c>
      <c r="H4" s="27">
        <f>(G4-G3)/G3</f>
        <v>2.1671774063478901E-2</v>
      </c>
    </row>
    <row r="5" spans="2:12" x14ac:dyDescent="0.3">
      <c r="B5" s="132">
        <v>44656</v>
      </c>
      <c r="C5" s="78">
        <v>2139.8000000000002</v>
      </c>
      <c r="D5" s="27">
        <f t="shared" ref="D5:D68" si="0">(C5-C4)/C4</f>
        <v>5.3325189692031124E-3</v>
      </c>
      <c r="F5" s="77">
        <v>44656</v>
      </c>
      <c r="G5" s="78">
        <v>17957.400000000001</v>
      </c>
      <c r="H5" s="27">
        <f t="shared" ref="H5:H68" si="1">(G5-G4)/G4</f>
        <v>-5.3175579115291296E-3</v>
      </c>
      <c r="K5" s="20" t="s">
        <v>246</v>
      </c>
      <c r="L5" s="79">
        <f>SLOPE(D4:D746,H4:H746)</f>
        <v>0.49106626893551558</v>
      </c>
    </row>
    <row r="6" spans="2:12" x14ac:dyDescent="0.3">
      <c r="B6" s="132">
        <v>44657</v>
      </c>
      <c r="C6" s="78">
        <v>2142.0500000000002</v>
      </c>
      <c r="D6" s="27">
        <f t="shared" si="0"/>
        <v>1.0515001402000186E-3</v>
      </c>
      <c r="F6" s="77">
        <v>44657</v>
      </c>
      <c r="G6" s="78">
        <v>17807.650000000001</v>
      </c>
      <c r="H6" s="27">
        <f t="shared" si="1"/>
        <v>-8.3391805049728793E-3</v>
      </c>
    </row>
    <row r="7" spans="2:12" x14ac:dyDescent="0.3">
      <c r="B7" s="132">
        <v>44658</v>
      </c>
      <c r="C7" s="78">
        <v>2164.8000000000002</v>
      </c>
      <c r="D7" s="27">
        <f t="shared" si="0"/>
        <v>1.062066711794776E-2</v>
      </c>
      <c r="F7" s="77">
        <v>44658</v>
      </c>
      <c r="G7" s="78">
        <v>17639.55</v>
      </c>
      <c r="H7" s="27">
        <f t="shared" si="1"/>
        <v>-9.4397632478177736E-3</v>
      </c>
    </row>
    <row r="8" spans="2:12" x14ac:dyDescent="0.3">
      <c r="B8" s="132">
        <v>44659</v>
      </c>
      <c r="C8" s="78">
        <v>2183.0500000000002</v>
      </c>
      <c r="D8" s="27">
        <f t="shared" si="0"/>
        <v>8.4303399852180341E-3</v>
      </c>
      <c r="F8" s="77">
        <v>44659</v>
      </c>
      <c r="G8" s="78">
        <v>17784.349999999999</v>
      </c>
      <c r="H8" s="27">
        <f t="shared" si="1"/>
        <v>8.2088261888766598E-3</v>
      </c>
    </row>
    <row r="9" spans="2:12" x14ac:dyDescent="0.3">
      <c r="B9" s="132">
        <v>44662</v>
      </c>
      <c r="C9" s="78">
        <v>2163.0500000000002</v>
      </c>
      <c r="D9" s="27">
        <f t="shared" si="0"/>
        <v>-9.1614942397104954E-3</v>
      </c>
      <c r="F9" s="77">
        <v>44662</v>
      </c>
      <c r="G9" s="78">
        <v>17674.95</v>
      </c>
      <c r="H9" s="27">
        <f t="shared" si="1"/>
        <v>-6.1514758762618721E-3</v>
      </c>
    </row>
    <row r="10" spans="2:12" x14ac:dyDescent="0.3">
      <c r="B10" s="132">
        <v>44663</v>
      </c>
      <c r="C10" s="78">
        <v>2132.25</v>
      </c>
      <c r="D10" s="27">
        <f t="shared" si="0"/>
        <v>-1.4239153047779838E-2</v>
      </c>
      <c r="F10" s="77">
        <v>44663</v>
      </c>
      <c r="G10" s="78">
        <v>17530.3</v>
      </c>
      <c r="H10" s="27">
        <f t="shared" si="1"/>
        <v>-8.1838986814673567E-3</v>
      </c>
    </row>
    <row r="11" spans="2:12" x14ac:dyDescent="0.3">
      <c r="B11" s="132">
        <v>44664</v>
      </c>
      <c r="C11" s="78">
        <v>2152.15</v>
      </c>
      <c r="D11" s="27">
        <f t="shared" si="0"/>
        <v>9.3328643451753273E-3</v>
      </c>
      <c r="F11" s="77">
        <v>44664</v>
      </c>
      <c r="G11" s="78">
        <v>17475.650000000001</v>
      </c>
      <c r="H11" s="27">
        <f t="shared" si="1"/>
        <v>-3.1174594844353958E-3</v>
      </c>
    </row>
    <row r="12" spans="2:12" x14ac:dyDescent="0.3">
      <c r="B12" s="132">
        <v>44669</v>
      </c>
      <c r="C12" s="78">
        <v>2177.65</v>
      </c>
      <c r="D12" s="27">
        <f t="shared" si="0"/>
        <v>1.184861649977929E-2</v>
      </c>
      <c r="F12" s="77">
        <v>44669</v>
      </c>
      <c r="G12" s="78">
        <v>17173.650000000001</v>
      </c>
      <c r="H12" s="27">
        <f t="shared" si="1"/>
        <v>-1.7281188396425881E-2</v>
      </c>
    </row>
    <row r="13" spans="2:12" x14ac:dyDescent="0.3">
      <c r="B13" s="132">
        <v>44670</v>
      </c>
      <c r="C13" s="78">
        <v>2113.0500000000002</v>
      </c>
      <c r="D13" s="27">
        <f t="shared" si="0"/>
        <v>-2.9665005854935322E-2</v>
      </c>
      <c r="F13" s="77">
        <v>44670</v>
      </c>
      <c r="G13" s="78">
        <v>16958.650000000001</v>
      </c>
      <c r="H13" s="27">
        <f t="shared" si="1"/>
        <v>-1.2519179091224054E-2</v>
      </c>
    </row>
    <row r="14" spans="2:12" x14ac:dyDescent="0.3">
      <c r="B14" s="132">
        <v>44671</v>
      </c>
      <c r="C14" s="78">
        <v>2164.9499999999998</v>
      </c>
      <c r="D14" s="27">
        <f t="shared" si="0"/>
        <v>2.456165258749184E-2</v>
      </c>
      <c r="F14" s="77">
        <v>44671</v>
      </c>
      <c r="G14" s="78">
        <v>17136.55</v>
      </c>
      <c r="H14" s="27">
        <f t="shared" si="1"/>
        <v>1.049022180421188E-2</v>
      </c>
    </row>
    <row r="15" spans="2:12" x14ac:dyDescent="0.3">
      <c r="B15" s="132">
        <v>44672</v>
      </c>
      <c r="C15" s="78">
        <v>2197.9499999999998</v>
      </c>
      <c r="D15" s="27">
        <f t="shared" si="0"/>
        <v>1.524284625510982E-2</v>
      </c>
      <c r="F15" s="77">
        <v>44672</v>
      </c>
      <c r="G15" s="78">
        <v>17392.599999999999</v>
      </c>
      <c r="H15" s="27">
        <f t="shared" si="1"/>
        <v>1.4941747317867323E-2</v>
      </c>
    </row>
    <row r="16" spans="2:12" x14ac:dyDescent="0.3">
      <c r="B16" s="132">
        <v>44673</v>
      </c>
      <c r="C16" s="78">
        <v>2126.9499999999998</v>
      </c>
      <c r="D16" s="27">
        <f t="shared" si="0"/>
        <v>-3.2302827634841561E-2</v>
      </c>
      <c r="F16" s="77">
        <v>44673</v>
      </c>
      <c r="G16" s="78">
        <v>17171.95</v>
      </c>
      <c r="H16" s="27">
        <f t="shared" si="1"/>
        <v>-1.2686429860975233E-2</v>
      </c>
    </row>
    <row r="17" spans="2:8" x14ac:dyDescent="0.3">
      <c r="B17" s="132">
        <v>44676</v>
      </c>
      <c r="C17" s="78">
        <v>2100.75</v>
      </c>
      <c r="D17" s="27">
        <f t="shared" si="0"/>
        <v>-1.2318108089047613E-2</v>
      </c>
      <c r="F17" s="77">
        <v>44676</v>
      </c>
      <c r="G17" s="78">
        <v>16953.95</v>
      </c>
      <c r="H17" s="27">
        <f t="shared" si="1"/>
        <v>-1.2695121986728355E-2</v>
      </c>
    </row>
    <row r="18" spans="2:8" x14ac:dyDescent="0.3">
      <c r="B18" s="132">
        <v>44677</v>
      </c>
      <c r="C18" s="78">
        <v>2148.35</v>
      </c>
      <c r="D18" s="27">
        <f t="shared" si="0"/>
        <v>2.2658574318695661E-2</v>
      </c>
      <c r="F18" s="77">
        <v>44677</v>
      </c>
      <c r="G18" s="78">
        <v>17200.8</v>
      </c>
      <c r="H18" s="27">
        <f t="shared" si="1"/>
        <v>1.4560028783852643E-2</v>
      </c>
    </row>
    <row r="19" spans="2:8" x14ac:dyDescent="0.3">
      <c r="B19" s="132">
        <v>44678</v>
      </c>
      <c r="C19" s="78">
        <v>2145.1</v>
      </c>
      <c r="D19" s="27">
        <f t="shared" si="0"/>
        <v>-1.5127888844927502E-3</v>
      </c>
      <c r="F19" s="77">
        <v>44678</v>
      </c>
      <c r="G19" s="78">
        <v>17038.400000000001</v>
      </c>
      <c r="H19" s="27">
        <f t="shared" si="1"/>
        <v>-9.4414213292403747E-3</v>
      </c>
    </row>
    <row r="20" spans="2:8" x14ac:dyDescent="0.3">
      <c r="B20" s="132">
        <v>44679</v>
      </c>
      <c r="C20" s="78">
        <v>2241.85</v>
      </c>
      <c r="D20" s="27">
        <f t="shared" si="0"/>
        <v>4.5102792410610229E-2</v>
      </c>
      <c r="F20" s="77">
        <v>44679</v>
      </c>
      <c r="G20" s="78">
        <v>17245.05</v>
      </c>
      <c r="H20" s="27">
        <f t="shared" si="1"/>
        <v>1.2128486242839574E-2</v>
      </c>
    </row>
    <row r="21" spans="2:8" x14ac:dyDescent="0.3">
      <c r="B21" s="132">
        <v>44680</v>
      </c>
      <c r="C21" s="78">
        <v>2234.85</v>
      </c>
      <c r="D21" s="27">
        <f t="shared" si="0"/>
        <v>-3.1224212146218526E-3</v>
      </c>
      <c r="F21" s="77">
        <v>44680</v>
      </c>
      <c r="G21" s="78">
        <v>17102.55</v>
      </c>
      <c r="H21" s="27">
        <f t="shared" si="1"/>
        <v>-8.2632407560430388E-3</v>
      </c>
    </row>
    <row r="22" spans="2:8" x14ac:dyDescent="0.3">
      <c r="B22" s="132">
        <v>44683</v>
      </c>
      <c r="C22" s="78">
        <v>2230.5</v>
      </c>
      <c r="D22" s="27">
        <f t="shared" si="0"/>
        <v>-1.9464393583461571E-3</v>
      </c>
      <c r="F22" s="77">
        <v>44683</v>
      </c>
      <c r="G22" s="78">
        <v>17069.099999999999</v>
      </c>
      <c r="H22" s="27">
        <f t="shared" si="1"/>
        <v>-1.9558486892305958E-3</v>
      </c>
    </row>
    <row r="23" spans="2:8" x14ac:dyDescent="0.3">
      <c r="B23" s="132">
        <v>44685</v>
      </c>
      <c r="C23" s="78">
        <v>2171.5500000000002</v>
      </c>
      <c r="D23" s="27">
        <f t="shared" si="0"/>
        <v>-2.6429051782111551E-2</v>
      </c>
      <c r="F23" s="77">
        <v>44685</v>
      </c>
      <c r="G23" s="78">
        <v>16677.599999999999</v>
      </c>
      <c r="H23" s="27">
        <f t="shared" si="1"/>
        <v>-2.2936182927043608E-2</v>
      </c>
    </row>
    <row r="24" spans="2:8" x14ac:dyDescent="0.3">
      <c r="B24" s="132">
        <v>44686</v>
      </c>
      <c r="C24" s="78">
        <v>2166.6</v>
      </c>
      <c r="D24" s="27">
        <f t="shared" si="0"/>
        <v>-2.279477792360421E-3</v>
      </c>
      <c r="F24" s="77">
        <v>44686</v>
      </c>
      <c r="G24" s="78">
        <v>16682.650000000001</v>
      </c>
      <c r="H24" s="27">
        <f t="shared" si="1"/>
        <v>3.0280136230650159E-4</v>
      </c>
    </row>
    <row r="25" spans="2:8" x14ac:dyDescent="0.3">
      <c r="B25" s="132">
        <v>44687</v>
      </c>
      <c r="C25" s="78">
        <v>2149.1999999999998</v>
      </c>
      <c r="D25" s="27">
        <f t="shared" si="0"/>
        <v>-8.0310163389643186E-3</v>
      </c>
      <c r="F25" s="77">
        <v>44687</v>
      </c>
      <c r="G25" s="78">
        <v>16411.25</v>
      </c>
      <c r="H25" s="27">
        <f t="shared" si="1"/>
        <v>-1.6268398605737183E-2</v>
      </c>
    </row>
    <row r="26" spans="2:8" x14ac:dyDescent="0.3">
      <c r="B26" s="132">
        <v>44690</v>
      </c>
      <c r="C26" s="78">
        <v>2116.65</v>
      </c>
      <c r="D26" s="27">
        <f t="shared" si="0"/>
        <v>-1.5145170295923939E-2</v>
      </c>
      <c r="F26" s="77">
        <v>44690</v>
      </c>
      <c r="G26" s="78">
        <v>16301.85</v>
      </c>
      <c r="H26" s="27">
        <f t="shared" si="1"/>
        <v>-6.6661588849112434E-3</v>
      </c>
    </row>
    <row r="27" spans="2:8" x14ac:dyDescent="0.3">
      <c r="B27" s="132">
        <v>44691</v>
      </c>
      <c r="C27" s="78">
        <v>2180.4</v>
      </c>
      <c r="D27" s="27">
        <f t="shared" si="0"/>
        <v>3.0118347388562113E-2</v>
      </c>
      <c r="F27" s="77">
        <v>44691</v>
      </c>
      <c r="G27" s="78">
        <v>16240.05</v>
      </c>
      <c r="H27" s="27">
        <f t="shared" si="1"/>
        <v>-3.7909807782552955E-3</v>
      </c>
    </row>
    <row r="28" spans="2:8" x14ac:dyDescent="0.3">
      <c r="B28" s="132">
        <v>44692</v>
      </c>
      <c r="C28" s="78">
        <v>2163.5</v>
      </c>
      <c r="D28" s="27">
        <f t="shared" si="0"/>
        <v>-7.7508713997432076E-3</v>
      </c>
      <c r="F28" s="77">
        <v>44692</v>
      </c>
      <c r="G28" s="78">
        <v>16167.1</v>
      </c>
      <c r="H28" s="27">
        <f t="shared" si="1"/>
        <v>-4.4919812439000442E-3</v>
      </c>
    </row>
    <row r="29" spans="2:8" x14ac:dyDescent="0.3">
      <c r="B29" s="132">
        <v>44693</v>
      </c>
      <c r="C29" s="78">
        <v>2138.8000000000002</v>
      </c>
      <c r="D29" s="27">
        <f t="shared" si="0"/>
        <v>-1.1416685925583462E-2</v>
      </c>
      <c r="F29" s="77">
        <v>44693</v>
      </c>
      <c r="G29" s="78">
        <v>15808</v>
      </c>
      <c r="H29" s="27">
        <f t="shared" si="1"/>
        <v>-2.2211775766835137E-2</v>
      </c>
    </row>
    <row r="30" spans="2:8" x14ac:dyDescent="0.3">
      <c r="B30" s="132">
        <v>44694</v>
      </c>
      <c r="C30" s="78">
        <v>2194.1</v>
      </c>
      <c r="D30" s="27">
        <f t="shared" si="0"/>
        <v>2.5855619973816964E-2</v>
      </c>
      <c r="F30" s="77">
        <v>44694</v>
      </c>
      <c r="G30" s="78">
        <v>15782.15</v>
      </c>
      <c r="H30" s="27">
        <f t="shared" si="1"/>
        <v>-1.6352479757085251E-3</v>
      </c>
    </row>
    <row r="31" spans="2:8" x14ac:dyDescent="0.3">
      <c r="B31" s="132">
        <v>44697</v>
      </c>
      <c r="C31" s="78">
        <v>2217.25</v>
      </c>
      <c r="D31" s="27">
        <f t="shared" si="0"/>
        <v>1.0551023198578046E-2</v>
      </c>
      <c r="F31" s="77">
        <v>44697</v>
      </c>
      <c r="G31" s="78">
        <v>15842.3</v>
      </c>
      <c r="H31" s="27">
        <f t="shared" si="1"/>
        <v>3.8112677930446509E-3</v>
      </c>
    </row>
    <row r="32" spans="2:8" x14ac:dyDescent="0.3">
      <c r="B32" s="132">
        <v>44698</v>
      </c>
      <c r="C32" s="78">
        <v>2245</v>
      </c>
      <c r="D32" s="27">
        <f t="shared" si="0"/>
        <v>1.2515503438944638E-2</v>
      </c>
      <c r="F32" s="77">
        <v>44698</v>
      </c>
      <c r="G32" s="78">
        <v>16259.3</v>
      </c>
      <c r="H32" s="27">
        <f t="shared" si="1"/>
        <v>2.6321935577536093E-2</v>
      </c>
    </row>
    <row r="33" spans="2:8" x14ac:dyDescent="0.3">
      <c r="B33" s="132">
        <v>44699</v>
      </c>
      <c r="C33" s="78">
        <v>2291.4</v>
      </c>
      <c r="D33" s="27">
        <f t="shared" si="0"/>
        <v>2.0668151447661511E-2</v>
      </c>
      <c r="F33" s="77">
        <v>44699</v>
      </c>
      <c r="G33" s="78">
        <v>16240.3</v>
      </c>
      <c r="H33" s="27">
        <f t="shared" si="1"/>
        <v>-1.1685619922136869E-3</v>
      </c>
    </row>
    <row r="34" spans="2:8" x14ac:dyDescent="0.3">
      <c r="B34" s="132">
        <v>44700</v>
      </c>
      <c r="C34" s="78">
        <v>2264.5500000000002</v>
      </c>
      <c r="D34" s="27">
        <f t="shared" si="0"/>
        <v>-1.1717727153705119E-2</v>
      </c>
      <c r="F34" s="77">
        <v>44700</v>
      </c>
      <c r="G34" s="78">
        <v>15809.4</v>
      </c>
      <c r="H34" s="27">
        <f t="shared" si="1"/>
        <v>-2.6532761094314739E-2</v>
      </c>
    </row>
    <row r="35" spans="2:8" x14ac:dyDescent="0.3">
      <c r="B35" s="132">
        <v>44701</v>
      </c>
      <c r="C35" s="78">
        <v>2325.9499999999998</v>
      </c>
      <c r="D35" s="27">
        <f t="shared" si="0"/>
        <v>2.7113554569340323E-2</v>
      </c>
      <c r="F35" s="77">
        <v>44701</v>
      </c>
      <c r="G35" s="78">
        <v>16266.15</v>
      </c>
      <c r="H35" s="27">
        <f t="shared" si="1"/>
        <v>2.8891039508140728E-2</v>
      </c>
    </row>
    <row r="36" spans="2:8" x14ac:dyDescent="0.3">
      <c r="B36" s="132">
        <v>44704</v>
      </c>
      <c r="C36" s="78">
        <v>2379.8000000000002</v>
      </c>
      <c r="D36" s="27">
        <f t="shared" si="0"/>
        <v>2.315183043487623E-2</v>
      </c>
      <c r="F36" s="77">
        <v>44704</v>
      </c>
      <c r="G36" s="78">
        <v>16214.7</v>
      </c>
      <c r="H36" s="27">
        <f t="shared" si="1"/>
        <v>-3.1630103005320194E-3</v>
      </c>
    </row>
    <row r="37" spans="2:8" x14ac:dyDescent="0.3">
      <c r="B37" s="132">
        <v>44705</v>
      </c>
      <c r="C37" s="78">
        <v>2309.65</v>
      </c>
      <c r="D37" s="27">
        <f t="shared" si="0"/>
        <v>-2.9477266997226692E-2</v>
      </c>
      <c r="F37" s="77">
        <v>44705</v>
      </c>
      <c r="G37" s="78">
        <v>16125.15</v>
      </c>
      <c r="H37" s="27">
        <f t="shared" si="1"/>
        <v>-5.5227663786564718E-3</v>
      </c>
    </row>
    <row r="38" spans="2:8" x14ac:dyDescent="0.3">
      <c r="B38" s="132">
        <v>44706</v>
      </c>
      <c r="C38" s="78">
        <v>2298.6999999999998</v>
      </c>
      <c r="D38" s="27">
        <f t="shared" si="0"/>
        <v>-4.7409780702705054E-3</v>
      </c>
      <c r="F38" s="77">
        <v>44706</v>
      </c>
      <c r="G38" s="78">
        <v>16025.8</v>
      </c>
      <c r="H38" s="27">
        <f t="shared" si="1"/>
        <v>-6.1611829967473395E-3</v>
      </c>
    </row>
    <row r="39" spans="2:8" x14ac:dyDescent="0.3">
      <c r="B39" s="132">
        <v>44707</v>
      </c>
      <c r="C39" s="78">
        <v>2280.1999999999998</v>
      </c>
      <c r="D39" s="27">
        <f t="shared" si="0"/>
        <v>-8.0480271457780486E-3</v>
      </c>
      <c r="F39" s="77">
        <v>44707</v>
      </c>
      <c r="G39" s="78">
        <v>16170.15</v>
      </c>
      <c r="H39" s="27">
        <f t="shared" si="1"/>
        <v>9.0073506470816044E-3</v>
      </c>
    </row>
    <row r="40" spans="2:8" x14ac:dyDescent="0.3">
      <c r="B40" s="132">
        <v>44708</v>
      </c>
      <c r="C40" s="78">
        <v>2330.6</v>
      </c>
      <c r="D40" s="27">
        <f t="shared" si="0"/>
        <v>2.2103324269800936E-2</v>
      </c>
      <c r="F40" s="77">
        <v>44708</v>
      </c>
      <c r="G40" s="78">
        <v>16352.45</v>
      </c>
      <c r="H40" s="27">
        <f t="shared" si="1"/>
        <v>1.1273859549849637E-2</v>
      </c>
    </row>
    <row r="41" spans="2:8" x14ac:dyDescent="0.3">
      <c r="B41" s="132">
        <v>44711</v>
      </c>
      <c r="C41" s="78">
        <v>2348.9499999999998</v>
      </c>
      <c r="D41" s="27">
        <f t="shared" si="0"/>
        <v>7.8735089676477774E-3</v>
      </c>
      <c r="F41" s="77">
        <v>44711</v>
      </c>
      <c r="G41" s="78">
        <v>16661.400000000001</v>
      </c>
      <c r="H41" s="27">
        <f t="shared" si="1"/>
        <v>1.8893193374693133E-2</v>
      </c>
    </row>
    <row r="42" spans="2:8" x14ac:dyDescent="0.3">
      <c r="B42" s="132">
        <v>44712</v>
      </c>
      <c r="C42" s="78">
        <v>2353.25</v>
      </c>
      <c r="D42" s="27">
        <f t="shared" si="0"/>
        <v>1.8306051640095285E-3</v>
      </c>
      <c r="F42" s="77">
        <v>44712</v>
      </c>
      <c r="G42" s="78">
        <v>16584.55</v>
      </c>
      <c r="H42" s="27">
        <f t="shared" si="1"/>
        <v>-4.61245753658169E-3</v>
      </c>
    </row>
    <row r="43" spans="2:8" x14ac:dyDescent="0.3">
      <c r="B43" s="132">
        <v>44713</v>
      </c>
      <c r="C43" s="78">
        <v>2308.4499999999998</v>
      </c>
      <c r="D43" s="27">
        <f t="shared" si="0"/>
        <v>-1.9037501327950783E-2</v>
      </c>
      <c r="F43" s="77">
        <v>44713</v>
      </c>
      <c r="G43" s="78">
        <v>16522.75</v>
      </c>
      <c r="H43" s="27">
        <f t="shared" si="1"/>
        <v>-3.7263597746094571E-3</v>
      </c>
    </row>
    <row r="44" spans="2:8" x14ac:dyDescent="0.3">
      <c r="B44" s="132">
        <v>44714</v>
      </c>
      <c r="C44" s="78">
        <v>2284.8000000000002</v>
      </c>
      <c r="D44" s="27">
        <f t="shared" si="0"/>
        <v>-1.0244969568324909E-2</v>
      </c>
      <c r="F44" s="77">
        <v>44714</v>
      </c>
      <c r="G44" s="78">
        <v>16628</v>
      </c>
      <c r="H44" s="27">
        <f t="shared" si="1"/>
        <v>6.3700049931155528E-3</v>
      </c>
    </row>
    <row r="45" spans="2:8" x14ac:dyDescent="0.3">
      <c r="B45" s="132">
        <v>44715</v>
      </c>
      <c r="C45" s="78">
        <v>2291.9499999999998</v>
      </c>
      <c r="D45" s="27">
        <f t="shared" si="0"/>
        <v>3.1293767507001207E-3</v>
      </c>
      <c r="F45" s="77">
        <v>44715</v>
      </c>
      <c r="G45" s="78">
        <v>16584.3</v>
      </c>
      <c r="H45" s="27">
        <f t="shared" si="1"/>
        <v>-2.6280971854703346E-3</v>
      </c>
    </row>
    <row r="46" spans="2:8" x14ac:dyDescent="0.3">
      <c r="B46" s="132">
        <v>44718</v>
      </c>
      <c r="C46" s="78">
        <v>2280.5</v>
      </c>
      <c r="D46" s="27">
        <f t="shared" si="0"/>
        <v>-4.9957459804968775E-3</v>
      </c>
      <c r="F46" s="77">
        <v>44718</v>
      </c>
      <c r="G46" s="78">
        <v>16569.55</v>
      </c>
      <c r="H46" s="27">
        <f t="shared" si="1"/>
        <v>-8.8939539202739944E-4</v>
      </c>
    </row>
    <row r="47" spans="2:8" x14ac:dyDescent="0.3">
      <c r="B47" s="132">
        <v>44719</v>
      </c>
      <c r="C47" s="78">
        <v>2211.6</v>
      </c>
      <c r="D47" s="27">
        <f t="shared" si="0"/>
        <v>-3.0212672659504534E-2</v>
      </c>
      <c r="F47" s="77">
        <v>44719</v>
      </c>
      <c r="G47" s="78">
        <v>16416.349999999999</v>
      </c>
      <c r="H47" s="27">
        <f t="shared" si="1"/>
        <v>-9.2458757178077097E-3</v>
      </c>
    </row>
    <row r="48" spans="2:8" x14ac:dyDescent="0.3">
      <c r="B48" s="132">
        <v>44720</v>
      </c>
      <c r="C48" s="78">
        <v>2197.0500000000002</v>
      </c>
      <c r="D48" s="27">
        <f t="shared" si="0"/>
        <v>-6.5789473684209291E-3</v>
      </c>
      <c r="F48" s="77">
        <v>44720</v>
      </c>
      <c r="G48" s="78">
        <v>16356.25</v>
      </c>
      <c r="H48" s="27">
        <f t="shared" si="1"/>
        <v>-3.6609843235553916E-3</v>
      </c>
    </row>
    <row r="49" spans="2:8" x14ac:dyDescent="0.3">
      <c r="B49" s="132">
        <v>44721</v>
      </c>
      <c r="C49" s="78">
        <v>2197.6999999999998</v>
      </c>
      <c r="D49" s="27">
        <f t="shared" si="0"/>
        <v>2.9585125509188964E-4</v>
      </c>
      <c r="F49" s="77">
        <v>44721</v>
      </c>
      <c r="G49" s="78">
        <v>16478.099999999999</v>
      </c>
      <c r="H49" s="27">
        <f t="shared" si="1"/>
        <v>7.4497516239968543E-3</v>
      </c>
    </row>
    <row r="50" spans="2:8" x14ac:dyDescent="0.3">
      <c r="B50" s="132">
        <v>44722</v>
      </c>
      <c r="C50" s="78">
        <v>2199.9</v>
      </c>
      <c r="D50" s="27">
        <f t="shared" si="0"/>
        <v>1.0010465486646372E-3</v>
      </c>
      <c r="F50" s="77">
        <v>44722</v>
      </c>
      <c r="G50" s="78">
        <v>16201.8</v>
      </c>
      <c r="H50" s="27">
        <f t="shared" si="1"/>
        <v>-1.6767709869463063E-2</v>
      </c>
    </row>
    <row r="51" spans="2:8" x14ac:dyDescent="0.3">
      <c r="B51" s="132">
        <v>44725</v>
      </c>
      <c r="C51" s="78">
        <v>2196.9</v>
      </c>
      <c r="D51" s="27">
        <f t="shared" si="0"/>
        <v>-1.3636983499249965E-3</v>
      </c>
      <c r="F51" s="77">
        <v>44725</v>
      </c>
      <c r="G51" s="78">
        <v>15774.4</v>
      </c>
      <c r="H51" s="27">
        <f t="shared" si="1"/>
        <v>-2.6379784962164678E-2</v>
      </c>
    </row>
    <row r="52" spans="2:8" x14ac:dyDescent="0.3">
      <c r="B52" s="132">
        <v>44726</v>
      </c>
      <c r="C52" s="78">
        <v>2171</v>
      </c>
      <c r="D52" s="27">
        <f t="shared" si="0"/>
        <v>-1.1789339523874591E-2</v>
      </c>
      <c r="F52" s="77">
        <v>44726</v>
      </c>
      <c r="G52" s="78">
        <v>15732.1</v>
      </c>
      <c r="H52" s="27">
        <f t="shared" si="1"/>
        <v>-2.6815599959427471E-3</v>
      </c>
    </row>
    <row r="53" spans="2:8" x14ac:dyDescent="0.3">
      <c r="B53" s="132">
        <v>44727</v>
      </c>
      <c r="C53" s="78">
        <v>2146.5500000000002</v>
      </c>
      <c r="D53" s="27">
        <f t="shared" si="0"/>
        <v>-1.1262091202210878E-2</v>
      </c>
      <c r="F53" s="77">
        <v>44727</v>
      </c>
      <c r="G53" s="78">
        <v>15692.15</v>
      </c>
      <c r="H53" s="27">
        <f t="shared" si="1"/>
        <v>-2.5393939779178067E-3</v>
      </c>
    </row>
    <row r="54" spans="2:8" x14ac:dyDescent="0.3">
      <c r="B54" s="132">
        <v>44728</v>
      </c>
      <c r="C54" s="78">
        <v>2146.6999999999998</v>
      </c>
      <c r="D54" s="27">
        <f t="shared" si="0"/>
        <v>6.9879574200291725E-5</v>
      </c>
      <c r="F54" s="77">
        <v>44728</v>
      </c>
      <c r="G54" s="78">
        <v>15360.6</v>
      </c>
      <c r="H54" s="27">
        <f t="shared" si="1"/>
        <v>-2.1128398594201514E-2</v>
      </c>
    </row>
    <row r="55" spans="2:8" x14ac:dyDescent="0.3">
      <c r="B55" s="132">
        <v>44729</v>
      </c>
      <c r="C55" s="78">
        <v>2110.4499999999998</v>
      </c>
      <c r="D55" s="27">
        <f t="shared" si="0"/>
        <v>-1.6886383751805099E-2</v>
      </c>
      <c r="F55" s="77">
        <v>44729</v>
      </c>
      <c r="G55" s="78">
        <v>15293.5</v>
      </c>
      <c r="H55" s="27">
        <f t="shared" si="1"/>
        <v>-4.3683189458745336E-3</v>
      </c>
    </row>
    <row r="56" spans="2:8" x14ac:dyDescent="0.3">
      <c r="B56" s="132">
        <v>44732</v>
      </c>
      <c r="C56" s="78">
        <v>2195.9</v>
      </c>
      <c r="D56" s="27">
        <f t="shared" si="0"/>
        <v>4.048899523798255E-2</v>
      </c>
      <c r="F56" s="77">
        <v>44732</v>
      </c>
      <c r="G56" s="78">
        <v>15350.15</v>
      </c>
      <c r="H56" s="27">
        <f t="shared" si="1"/>
        <v>3.7041880537483007E-3</v>
      </c>
    </row>
    <row r="57" spans="2:8" x14ac:dyDescent="0.3">
      <c r="B57" s="132">
        <v>44733</v>
      </c>
      <c r="C57" s="78">
        <v>2205</v>
      </c>
      <c r="D57" s="27">
        <f t="shared" si="0"/>
        <v>4.1440867070449061E-3</v>
      </c>
      <c r="F57" s="77">
        <v>44733</v>
      </c>
      <c r="G57" s="78">
        <v>15638.8</v>
      </c>
      <c r="H57" s="27">
        <f t="shared" si="1"/>
        <v>1.8804376504464104E-2</v>
      </c>
    </row>
    <row r="58" spans="2:8" x14ac:dyDescent="0.3">
      <c r="B58" s="132">
        <v>44734</v>
      </c>
      <c r="C58" s="78">
        <v>2202.85</v>
      </c>
      <c r="D58" s="27">
        <f t="shared" si="0"/>
        <v>-9.7505668934244486E-4</v>
      </c>
      <c r="F58" s="77">
        <v>44734</v>
      </c>
      <c r="G58" s="78">
        <v>15413.3</v>
      </c>
      <c r="H58" s="27">
        <f t="shared" si="1"/>
        <v>-1.4419264905235697E-2</v>
      </c>
    </row>
    <row r="59" spans="2:8" x14ac:dyDescent="0.3">
      <c r="B59" s="132">
        <v>44735</v>
      </c>
      <c r="C59" s="78">
        <v>2252.6</v>
      </c>
      <c r="D59" s="27">
        <f t="shared" si="0"/>
        <v>2.2584379326781215E-2</v>
      </c>
      <c r="F59" s="77">
        <v>44735</v>
      </c>
      <c r="G59" s="78">
        <v>15556.65</v>
      </c>
      <c r="H59" s="27">
        <f t="shared" si="1"/>
        <v>9.3004093866985247E-3</v>
      </c>
    </row>
    <row r="60" spans="2:8" x14ac:dyDescent="0.3">
      <c r="B60" s="132">
        <v>44736</v>
      </c>
      <c r="C60" s="78">
        <v>2303.9</v>
      </c>
      <c r="D60" s="27">
        <f t="shared" si="0"/>
        <v>2.2773683743230126E-2</v>
      </c>
      <c r="F60" s="77">
        <v>44736</v>
      </c>
      <c r="G60" s="78">
        <v>15699.25</v>
      </c>
      <c r="H60" s="27">
        <f t="shared" si="1"/>
        <v>9.1664979285386236E-3</v>
      </c>
    </row>
    <row r="61" spans="2:8" x14ac:dyDescent="0.3">
      <c r="B61" s="132">
        <v>44739</v>
      </c>
      <c r="C61" s="78">
        <v>2320.65</v>
      </c>
      <c r="D61" s="27">
        <f t="shared" si="0"/>
        <v>7.270280828160944E-3</v>
      </c>
      <c r="F61" s="77">
        <v>44739</v>
      </c>
      <c r="G61" s="78">
        <v>15832.05</v>
      </c>
      <c r="H61" s="27">
        <f t="shared" si="1"/>
        <v>8.4590028186059384E-3</v>
      </c>
    </row>
    <row r="62" spans="2:8" x14ac:dyDescent="0.3">
      <c r="B62" s="132">
        <v>44740</v>
      </c>
      <c r="C62" s="78">
        <v>2317.65</v>
      </c>
      <c r="D62" s="27">
        <f t="shared" si="0"/>
        <v>-1.2927412578372438E-3</v>
      </c>
      <c r="F62" s="77">
        <v>44740</v>
      </c>
      <c r="G62" s="78">
        <v>15850.2</v>
      </c>
      <c r="H62" s="27">
        <f t="shared" si="1"/>
        <v>1.1464087089164989E-3</v>
      </c>
    </row>
    <row r="63" spans="2:8" x14ac:dyDescent="0.3">
      <c r="B63" s="132">
        <v>44741</v>
      </c>
      <c r="C63" s="78">
        <v>2233.4499999999998</v>
      </c>
      <c r="D63" s="27">
        <f t="shared" si="0"/>
        <v>-3.6329903134640809E-2</v>
      </c>
      <c r="F63" s="77">
        <v>44741</v>
      </c>
      <c r="G63" s="78">
        <v>15799.1</v>
      </c>
      <c r="H63" s="27">
        <f t="shared" si="1"/>
        <v>-3.2239340828507123E-3</v>
      </c>
    </row>
    <row r="64" spans="2:8" x14ac:dyDescent="0.3">
      <c r="B64" s="132">
        <v>44742</v>
      </c>
      <c r="C64" s="78">
        <v>2230.6</v>
      </c>
      <c r="D64" s="27">
        <f t="shared" si="0"/>
        <v>-1.2760527435133578E-3</v>
      </c>
      <c r="F64" s="77">
        <v>44742</v>
      </c>
      <c r="G64" s="78">
        <v>15780.25</v>
      </c>
      <c r="H64" s="27">
        <f t="shared" si="1"/>
        <v>-1.1931059364141225E-3</v>
      </c>
    </row>
    <row r="65" spans="2:8" x14ac:dyDescent="0.3">
      <c r="B65" s="132">
        <v>44743</v>
      </c>
      <c r="C65" s="78">
        <v>2282.35</v>
      </c>
      <c r="D65" s="27">
        <f t="shared" si="0"/>
        <v>2.3200035864789744E-2</v>
      </c>
      <c r="F65" s="77">
        <v>44743</v>
      </c>
      <c r="G65" s="78">
        <v>15752.05</v>
      </c>
      <c r="H65" s="27">
        <f t="shared" si="1"/>
        <v>-1.7870439314966954E-3</v>
      </c>
    </row>
    <row r="66" spans="2:8" x14ac:dyDescent="0.3">
      <c r="B66" s="132">
        <v>44746</v>
      </c>
      <c r="C66" s="78">
        <v>2375.1999999999998</v>
      </c>
      <c r="D66" s="27">
        <f t="shared" si="0"/>
        <v>4.0681753455867817E-2</v>
      </c>
      <c r="F66" s="77">
        <v>44746</v>
      </c>
      <c r="G66" s="78">
        <v>15835.35</v>
      </c>
      <c r="H66" s="27">
        <f t="shared" si="1"/>
        <v>5.2882005834161963E-3</v>
      </c>
    </row>
    <row r="67" spans="2:8" x14ac:dyDescent="0.3">
      <c r="B67" s="132">
        <v>44747</v>
      </c>
      <c r="C67" s="78">
        <v>2401.5</v>
      </c>
      <c r="D67" s="27">
        <f t="shared" si="0"/>
        <v>1.1072751768272222E-2</v>
      </c>
      <c r="F67" s="77">
        <v>44747</v>
      </c>
      <c r="G67" s="78">
        <v>15810.85</v>
      </c>
      <c r="H67" s="27">
        <f t="shared" si="1"/>
        <v>-1.5471713602793749E-3</v>
      </c>
    </row>
    <row r="68" spans="2:8" x14ac:dyDescent="0.3">
      <c r="B68" s="132">
        <v>44748</v>
      </c>
      <c r="C68" s="78">
        <v>2498.4</v>
      </c>
      <c r="D68" s="27">
        <f t="shared" si="0"/>
        <v>4.0349781386633393E-2</v>
      </c>
      <c r="F68" s="77">
        <v>44748</v>
      </c>
      <c r="G68" s="78">
        <v>15989.8</v>
      </c>
      <c r="H68" s="27">
        <f t="shared" si="1"/>
        <v>1.1318177074603763E-2</v>
      </c>
    </row>
    <row r="69" spans="2:8" x14ac:dyDescent="0.3">
      <c r="B69" s="132">
        <v>44749</v>
      </c>
      <c r="C69" s="78">
        <v>2472.9499999999998</v>
      </c>
      <c r="D69" s="27">
        <f t="shared" ref="D69:D132" si="2">(C69-C68)/C68</f>
        <v>-1.0186519372398443E-2</v>
      </c>
      <c r="F69" s="77">
        <v>44749</v>
      </c>
      <c r="G69" s="78">
        <v>16132.9</v>
      </c>
      <c r="H69" s="27">
        <f t="shared" ref="H69:H132" si="3">(G69-G68)/G68</f>
        <v>8.9494552777395816E-3</v>
      </c>
    </row>
    <row r="70" spans="2:8" x14ac:dyDescent="0.3">
      <c r="B70" s="132">
        <v>44750</v>
      </c>
      <c r="C70" s="78">
        <v>2496.85</v>
      </c>
      <c r="D70" s="27">
        <f t="shared" si="2"/>
        <v>9.6645706544815271E-3</v>
      </c>
      <c r="F70" s="77">
        <v>44750</v>
      </c>
      <c r="G70" s="78">
        <v>16220.6</v>
      </c>
      <c r="H70" s="27">
        <f t="shared" si="3"/>
        <v>5.4360964240775514E-3</v>
      </c>
    </row>
    <row r="71" spans="2:8" x14ac:dyDescent="0.3">
      <c r="B71" s="132">
        <v>44753</v>
      </c>
      <c r="C71" s="78">
        <v>2490.6</v>
      </c>
      <c r="D71" s="27">
        <f t="shared" si="2"/>
        <v>-2.5031539740072491E-3</v>
      </c>
      <c r="F71" s="77">
        <v>44753</v>
      </c>
      <c r="G71" s="78">
        <v>16216</v>
      </c>
      <c r="H71" s="27">
        <f t="shared" si="3"/>
        <v>-2.8359000283592243E-4</v>
      </c>
    </row>
    <row r="72" spans="2:8" x14ac:dyDescent="0.3">
      <c r="B72" s="132">
        <v>44754</v>
      </c>
      <c r="C72" s="78">
        <v>2449.5500000000002</v>
      </c>
      <c r="D72" s="27">
        <f t="shared" si="2"/>
        <v>-1.6481972215530286E-2</v>
      </c>
      <c r="F72" s="77">
        <v>44754</v>
      </c>
      <c r="G72" s="78">
        <v>16058.3</v>
      </c>
      <c r="H72" s="27">
        <f t="shared" si="3"/>
        <v>-9.724962999506705E-3</v>
      </c>
    </row>
    <row r="73" spans="2:8" x14ac:dyDescent="0.3">
      <c r="B73" s="132">
        <v>44755</v>
      </c>
      <c r="C73" s="78">
        <v>2497.75</v>
      </c>
      <c r="D73" s="27">
        <f t="shared" si="2"/>
        <v>1.9677083545957347E-2</v>
      </c>
      <c r="F73" s="77">
        <v>44755</v>
      </c>
      <c r="G73" s="78">
        <v>15966.65</v>
      </c>
      <c r="H73" s="27">
        <f t="shared" si="3"/>
        <v>-5.7073289202468278E-3</v>
      </c>
    </row>
    <row r="74" spans="2:8" x14ac:dyDescent="0.3">
      <c r="B74" s="132">
        <v>44756</v>
      </c>
      <c r="C74" s="78">
        <v>2497.8000000000002</v>
      </c>
      <c r="D74" s="27">
        <f t="shared" si="2"/>
        <v>2.001801621466596E-5</v>
      </c>
      <c r="F74" s="77">
        <v>44756</v>
      </c>
      <c r="G74" s="78">
        <v>15938.65</v>
      </c>
      <c r="H74" s="27">
        <f t="shared" si="3"/>
        <v>-1.7536552752142748E-3</v>
      </c>
    </row>
    <row r="75" spans="2:8" x14ac:dyDescent="0.3">
      <c r="B75" s="132">
        <v>44757</v>
      </c>
      <c r="C75" s="78">
        <v>2568.5</v>
      </c>
      <c r="D75" s="27">
        <f t="shared" si="2"/>
        <v>2.8304908319320927E-2</v>
      </c>
      <c r="F75" s="77">
        <v>44757</v>
      </c>
      <c r="G75" s="78">
        <v>16049.2</v>
      </c>
      <c r="H75" s="27">
        <f t="shared" si="3"/>
        <v>6.9359701103921031E-3</v>
      </c>
    </row>
    <row r="76" spans="2:8" x14ac:dyDescent="0.3">
      <c r="B76" s="132">
        <v>44760</v>
      </c>
      <c r="C76" s="78">
        <v>2553.5</v>
      </c>
      <c r="D76" s="27">
        <f t="shared" si="2"/>
        <v>-5.8399844267081951E-3</v>
      </c>
      <c r="F76" s="77">
        <v>44760</v>
      </c>
      <c r="G76" s="78">
        <v>16278.5</v>
      </c>
      <c r="H76" s="27">
        <f t="shared" si="3"/>
        <v>1.428731650175705E-2</v>
      </c>
    </row>
    <row r="77" spans="2:8" x14ac:dyDescent="0.3">
      <c r="B77" s="132">
        <v>44761</v>
      </c>
      <c r="C77" s="78">
        <v>2567.9499999999998</v>
      </c>
      <c r="D77" s="27">
        <f t="shared" si="2"/>
        <v>5.6588995496376811E-3</v>
      </c>
      <c r="F77" s="77">
        <v>44761</v>
      </c>
      <c r="G77" s="78">
        <v>16340.55</v>
      </c>
      <c r="H77" s="27">
        <f t="shared" si="3"/>
        <v>3.8117762693122385E-3</v>
      </c>
    </row>
    <row r="78" spans="2:8" x14ac:dyDescent="0.3">
      <c r="B78" s="132">
        <v>44762</v>
      </c>
      <c r="C78" s="78">
        <v>2604.5</v>
      </c>
      <c r="D78" s="27">
        <f t="shared" si="2"/>
        <v>1.4233143168675475E-2</v>
      </c>
      <c r="F78" s="77">
        <v>44762</v>
      </c>
      <c r="G78" s="78">
        <v>16520.849999999999</v>
      </c>
      <c r="H78" s="27">
        <f t="shared" si="3"/>
        <v>1.1033900327712303E-2</v>
      </c>
    </row>
    <row r="79" spans="2:8" x14ac:dyDescent="0.3">
      <c r="B79" s="132">
        <v>44763</v>
      </c>
      <c r="C79" s="78">
        <v>2607.4499999999998</v>
      </c>
      <c r="D79" s="27">
        <f t="shared" si="2"/>
        <v>1.13265502015735E-3</v>
      </c>
      <c r="F79" s="77">
        <v>44763</v>
      </c>
      <c r="G79" s="78">
        <v>16605.25</v>
      </c>
      <c r="H79" s="27">
        <f t="shared" si="3"/>
        <v>5.1086959811390735E-3</v>
      </c>
    </row>
    <row r="80" spans="2:8" x14ac:dyDescent="0.3">
      <c r="B80" s="132">
        <v>44764</v>
      </c>
      <c r="C80" s="78">
        <v>2640.6</v>
      </c>
      <c r="D80" s="27">
        <f t="shared" si="2"/>
        <v>1.2713570730023622E-2</v>
      </c>
      <c r="F80" s="77">
        <v>44764</v>
      </c>
      <c r="G80" s="78">
        <v>16719.45</v>
      </c>
      <c r="H80" s="27">
        <f t="shared" si="3"/>
        <v>6.8773430089881654E-3</v>
      </c>
    </row>
    <row r="81" spans="2:8" x14ac:dyDescent="0.3">
      <c r="B81" s="132">
        <v>44767</v>
      </c>
      <c r="C81" s="78">
        <v>2623.6</v>
      </c>
      <c r="D81" s="27">
        <f t="shared" si="2"/>
        <v>-6.437930773309097E-3</v>
      </c>
      <c r="F81" s="77">
        <v>44767</v>
      </c>
      <c r="G81" s="78">
        <v>16631</v>
      </c>
      <c r="H81" s="27">
        <f t="shared" si="3"/>
        <v>-5.2902457915781154E-3</v>
      </c>
    </row>
    <row r="82" spans="2:8" x14ac:dyDescent="0.3">
      <c r="B82" s="132">
        <v>44768</v>
      </c>
      <c r="C82" s="78">
        <v>2547.1</v>
      </c>
      <c r="D82" s="27">
        <f t="shared" si="2"/>
        <v>-2.9158408293947249E-2</v>
      </c>
      <c r="F82" s="77">
        <v>44768</v>
      </c>
      <c r="G82" s="78">
        <v>16483.849999999999</v>
      </c>
      <c r="H82" s="27">
        <f t="shared" si="3"/>
        <v>-8.8479345800012901E-3</v>
      </c>
    </row>
    <row r="83" spans="2:8" x14ac:dyDescent="0.3">
      <c r="B83" s="132">
        <v>44769</v>
      </c>
      <c r="C83" s="78">
        <v>2581.9499999999998</v>
      </c>
      <c r="D83" s="27">
        <f t="shared" si="2"/>
        <v>1.3682226846217232E-2</v>
      </c>
      <c r="F83" s="77">
        <v>44769</v>
      </c>
      <c r="G83" s="78">
        <v>16641.8</v>
      </c>
      <c r="H83" s="27">
        <f t="shared" si="3"/>
        <v>9.5821061220528417E-3</v>
      </c>
    </row>
    <row r="84" spans="2:8" x14ac:dyDescent="0.3">
      <c r="B84" s="132">
        <v>44770</v>
      </c>
      <c r="C84" s="78">
        <v>2620.1</v>
      </c>
      <c r="D84" s="27">
        <f t="shared" si="2"/>
        <v>1.4775654059915991E-2</v>
      </c>
      <c r="F84" s="77">
        <v>44770</v>
      </c>
      <c r="G84" s="78">
        <v>16929.599999999999</v>
      </c>
      <c r="H84" s="27">
        <f t="shared" si="3"/>
        <v>1.7293802353110798E-2</v>
      </c>
    </row>
    <row r="85" spans="2:8" x14ac:dyDescent="0.3">
      <c r="B85" s="132">
        <v>44771</v>
      </c>
      <c r="C85" s="78">
        <v>2637.4</v>
      </c>
      <c r="D85" s="27">
        <f t="shared" si="2"/>
        <v>6.6028014197932073E-3</v>
      </c>
      <c r="F85" s="77">
        <v>44771</v>
      </c>
      <c r="G85" s="78">
        <v>17158.25</v>
      </c>
      <c r="H85" s="27">
        <f t="shared" si="3"/>
        <v>1.3505930441357237E-2</v>
      </c>
    </row>
    <row r="86" spans="2:8" x14ac:dyDescent="0.3">
      <c r="B86" s="132">
        <v>44774</v>
      </c>
      <c r="C86" s="78">
        <v>2593</v>
      </c>
      <c r="D86" s="27">
        <f t="shared" si="2"/>
        <v>-1.6834761507545343E-2</v>
      </c>
      <c r="F86" s="77">
        <v>44774</v>
      </c>
      <c r="G86" s="78">
        <v>17340.05</v>
      </c>
      <c r="H86" s="27">
        <f t="shared" si="3"/>
        <v>1.0595486136406642E-2</v>
      </c>
    </row>
    <row r="87" spans="2:8" x14ac:dyDescent="0.3">
      <c r="B87" s="132">
        <v>44775</v>
      </c>
      <c r="C87" s="78">
        <v>2635.25</v>
      </c>
      <c r="D87" s="27">
        <f t="shared" si="2"/>
        <v>1.6293868106440415E-2</v>
      </c>
      <c r="F87" s="77">
        <v>44775</v>
      </c>
      <c r="G87" s="78">
        <v>17345.45</v>
      </c>
      <c r="H87" s="27">
        <f t="shared" si="3"/>
        <v>3.114177871460264E-4</v>
      </c>
    </row>
    <row r="88" spans="2:8" x14ac:dyDescent="0.3">
      <c r="B88" s="132">
        <v>44776</v>
      </c>
      <c r="C88" s="78">
        <v>2626.35</v>
      </c>
      <c r="D88" s="27">
        <f t="shared" si="2"/>
        <v>-3.3772886822882424E-3</v>
      </c>
      <c r="F88" s="77">
        <v>44776</v>
      </c>
      <c r="G88" s="78">
        <v>17388.150000000001</v>
      </c>
      <c r="H88" s="27">
        <f t="shared" si="3"/>
        <v>2.461740687039006E-3</v>
      </c>
    </row>
    <row r="89" spans="2:8" x14ac:dyDescent="0.3">
      <c r="B89" s="132">
        <v>44777</v>
      </c>
      <c r="C89" s="78">
        <v>2627.95</v>
      </c>
      <c r="D89" s="27">
        <f t="shared" si="2"/>
        <v>6.0921050126598098E-4</v>
      </c>
      <c r="F89" s="77">
        <v>44777</v>
      </c>
      <c r="G89" s="78">
        <v>17382</v>
      </c>
      <c r="H89" s="27">
        <f t="shared" si="3"/>
        <v>-3.5368915036973193E-4</v>
      </c>
    </row>
    <row r="90" spans="2:8" x14ac:dyDescent="0.3">
      <c r="B90" s="132">
        <v>44778</v>
      </c>
      <c r="C90" s="78">
        <v>2645.4</v>
      </c>
      <c r="D90" s="27">
        <f t="shared" si="2"/>
        <v>6.6401567761944762E-3</v>
      </c>
      <c r="F90" s="77">
        <v>44778</v>
      </c>
      <c r="G90" s="78">
        <v>17397.5</v>
      </c>
      <c r="H90" s="27">
        <f t="shared" si="3"/>
        <v>8.9172707398458174E-4</v>
      </c>
    </row>
    <row r="91" spans="2:8" x14ac:dyDescent="0.3">
      <c r="B91" s="132">
        <v>44781</v>
      </c>
      <c r="C91" s="78">
        <v>2650.35</v>
      </c>
      <c r="D91" s="27">
        <f t="shared" si="2"/>
        <v>1.8711726014968692E-3</v>
      </c>
      <c r="F91" s="77">
        <v>44781</v>
      </c>
      <c r="G91" s="78">
        <v>17525.099999999999</v>
      </c>
      <c r="H91" s="27">
        <f t="shared" si="3"/>
        <v>7.3343871245867822E-3</v>
      </c>
    </row>
    <row r="92" spans="2:8" x14ac:dyDescent="0.3">
      <c r="B92" s="132">
        <v>44783</v>
      </c>
      <c r="C92" s="78">
        <v>2642.8</v>
      </c>
      <c r="D92" s="27">
        <f t="shared" si="2"/>
        <v>-2.8486803629708254E-3</v>
      </c>
      <c r="F92" s="77">
        <v>44783</v>
      </c>
      <c r="G92" s="78">
        <v>17534.75</v>
      </c>
      <c r="H92" s="27">
        <f t="shared" si="3"/>
        <v>5.5063879806685587E-4</v>
      </c>
    </row>
    <row r="93" spans="2:8" x14ac:dyDescent="0.3">
      <c r="B93" s="132">
        <v>44784</v>
      </c>
      <c r="C93" s="78">
        <v>2613.6999999999998</v>
      </c>
      <c r="D93" s="27">
        <f t="shared" si="2"/>
        <v>-1.1011048887543652E-2</v>
      </c>
      <c r="F93" s="77">
        <v>44784</v>
      </c>
      <c r="G93" s="78">
        <v>17659</v>
      </c>
      <c r="H93" s="27">
        <f t="shared" si="3"/>
        <v>7.0859293688247619E-3</v>
      </c>
    </row>
    <row r="94" spans="2:8" x14ac:dyDescent="0.3">
      <c r="B94" s="132">
        <v>44785</v>
      </c>
      <c r="C94" s="78">
        <v>2594.9499999999998</v>
      </c>
      <c r="D94" s="27">
        <f t="shared" si="2"/>
        <v>-7.1737383785438272E-3</v>
      </c>
      <c r="F94" s="77">
        <v>44785</v>
      </c>
      <c r="G94" s="78">
        <v>17698.150000000001</v>
      </c>
      <c r="H94" s="27">
        <f t="shared" si="3"/>
        <v>2.2169998301150378E-3</v>
      </c>
    </row>
    <row r="95" spans="2:8" x14ac:dyDescent="0.3">
      <c r="B95" s="132">
        <v>44789</v>
      </c>
      <c r="C95" s="78">
        <v>2644.5</v>
      </c>
      <c r="D95" s="27">
        <f t="shared" si="2"/>
        <v>1.909478024624759E-2</v>
      </c>
      <c r="F95" s="77">
        <v>44789</v>
      </c>
      <c r="G95" s="78">
        <v>17825.25</v>
      </c>
      <c r="H95" s="27">
        <f t="shared" si="3"/>
        <v>7.181541573554215E-3</v>
      </c>
    </row>
    <row r="96" spans="2:8" x14ac:dyDescent="0.3">
      <c r="B96" s="132">
        <v>44790</v>
      </c>
      <c r="C96" s="78">
        <v>2684.65</v>
      </c>
      <c r="D96" s="27">
        <f t="shared" si="2"/>
        <v>1.5182454150122931E-2</v>
      </c>
      <c r="F96" s="77">
        <v>44790</v>
      </c>
      <c r="G96" s="78">
        <v>17944.25</v>
      </c>
      <c r="H96" s="27">
        <f t="shared" si="3"/>
        <v>6.675923198833116E-3</v>
      </c>
    </row>
    <row r="97" spans="2:8" x14ac:dyDescent="0.3">
      <c r="B97" s="132">
        <v>44791</v>
      </c>
      <c r="C97" s="78">
        <v>2682.05</v>
      </c>
      <c r="D97" s="27">
        <f t="shared" si="2"/>
        <v>-9.6846888793694109E-4</v>
      </c>
      <c r="F97" s="77">
        <v>44791</v>
      </c>
      <c r="G97" s="78">
        <v>17956.5</v>
      </c>
      <c r="H97" s="27">
        <f t="shared" si="3"/>
        <v>6.8266993605193866E-4</v>
      </c>
    </row>
    <row r="98" spans="2:8" x14ac:dyDescent="0.3">
      <c r="B98" s="132">
        <v>44792</v>
      </c>
      <c r="C98" s="78">
        <v>2634.55</v>
      </c>
      <c r="D98" s="27">
        <f t="shared" si="2"/>
        <v>-1.7710333513543744E-2</v>
      </c>
      <c r="F98" s="77">
        <v>44792</v>
      </c>
      <c r="G98" s="78">
        <v>17758.45</v>
      </c>
      <c r="H98" s="27">
        <f t="shared" si="3"/>
        <v>-1.102943223902204E-2</v>
      </c>
    </row>
    <row r="99" spans="2:8" x14ac:dyDescent="0.3">
      <c r="B99" s="132">
        <v>44795</v>
      </c>
      <c r="C99" s="78">
        <v>2626.7</v>
      </c>
      <c r="D99" s="27">
        <f t="shared" si="2"/>
        <v>-2.9796359909663372E-3</v>
      </c>
      <c r="F99" s="77">
        <v>44795</v>
      </c>
      <c r="G99" s="78">
        <v>17490.7</v>
      </c>
      <c r="H99" s="27">
        <f t="shared" si="3"/>
        <v>-1.507732938403971E-2</v>
      </c>
    </row>
    <row r="100" spans="2:8" x14ac:dyDescent="0.3">
      <c r="B100" s="132">
        <v>44796</v>
      </c>
      <c r="C100" s="78">
        <v>2592.75</v>
      </c>
      <c r="D100" s="27">
        <f t="shared" si="2"/>
        <v>-1.2924962881181643E-2</v>
      </c>
      <c r="F100" s="77">
        <v>44796</v>
      </c>
      <c r="G100" s="78">
        <v>17577.5</v>
      </c>
      <c r="H100" s="27">
        <f t="shared" si="3"/>
        <v>4.9626372872440365E-3</v>
      </c>
    </row>
    <row r="101" spans="2:8" x14ac:dyDescent="0.3">
      <c r="B101" s="132">
        <v>44797</v>
      </c>
      <c r="C101" s="78">
        <v>2588.25</v>
      </c>
      <c r="D101" s="27">
        <f t="shared" si="2"/>
        <v>-1.7356089094590686E-3</v>
      </c>
      <c r="F101" s="77">
        <v>44797</v>
      </c>
      <c r="G101" s="78">
        <v>17604.95</v>
      </c>
      <c r="H101" s="27">
        <f t="shared" si="3"/>
        <v>1.5616555255298381E-3</v>
      </c>
    </row>
    <row r="102" spans="2:8" x14ac:dyDescent="0.3">
      <c r="B102" s="132">
        <v>44798</v>
      </c>
      <c r="C102" s="78">
        <v>2574.1999999999998</v>
      </c>
      <c r="D102" s="27">
        <f t="shared" si="2"/>
        <v>-5.4283782478509344E-3</v>
      </c>
      <c r="F102" s="77">
        <v>44798</v>
      </c>
      <c r="G102" s="78">
        <v>17522.45</v>
      </c>
      <c r="H102" s="27">
        <f t="shared" si="3"/>
        <v>-4.6861820113093195E-3</v>
      </c>
    </row>
    <row r="103" spans="2:8" x14ac:dyDescent="0.3">
      <c r="B103" s="132">
        <v>44799</v>
      </c>
      <c r="C103" s="78">
        <v>2571.5500000000002</v>
      </c>
      <c r="D103" s="27">
        <f t="shared" si="2"/>
        <v>-1.0294460414884766E-3</v>
      </c>
      <c r="F103" s="77">
        <v>44799</v>
      </c>
      <c r="G103" s="78">
        <v>17558.900000000001</v>
      </c>
      <c r="H103" s="27">
        <f t="shared" si="3"/>
        <v>2.0801885581069272E-3</v>
      </c>
    </row>
    <row r="104" spans="2:8" x14ac:dyDescent="0.3">
      <c r="B104" s="132">
        <v>44802</v>
      </c>
      <c r="C104" s="78">
        <v>2575.8000000000002</v>
      </c>
      <c r="D104" s="27">
        <f t="shared" si="2"/>
        <v>1.6526997336236899E-3</v>
      </c>
      <c r="F104" s="77">
        <v>44802</v>
      </c>
      <c r="G104" s="78">
        <v>17312.900000000001</v>
      </c>
      <c r="H104" s="27">
        <f t="shared" si="3"/>
        <v>-1.4009989236227781E-2</v>
      </c>
    </row>
    <row r="105" spans="2:8" x14ac:dyDescent="0.3">
      <c r="B105" s="132">
        <v>44803</v>
      </c>
      <c r="C105" s="78">
        <v>2659.85</v>
      </c>
      <c r="D105" s="27">
        <f t="shared" si="2"/>
        <v>3.2630639024768898E-2</v>
      </c>
      <c r="F105" s="77">
        <v>44803</v>
      </c>
      <c r="G105" s="78">
        <v>17759.3</v>
      </c>
      <c r="H105" s="27">
        <f t="shared" si="3"/>
        <v>2.5784241808131381E-2</v>
      </c>
    </row>
    <row r="106" spans="2:8" x14ac:dyDescent="0.3">
      <c r="B106" s="132">
        <v>44805</v>
      </c>
      <c r="C106" s="78">
        <v>2606</v>
      </c>
      <c r="D106" s="27">
        <f t="shared" si="2"/>
        <v>-2.0245502565934135E-2</v>
      </c>
      <c r="F106" s="77">
        <v>44805</v>
      </c>
      <c r="G106" s="78">
        <v>17542.8</v>
      </c>
      <c r="H106" s="27">
        <f t="shared" si="3"/>
        <v>-1.219079580839335E-2</v>
      </c>
    </row>
    <row r="107" spans="2:8" x14ac:dyDescent="0.3">
      <c r="B107" s="132">
        <v>44806</v>
      </c>
      <c r="C107" s="78">
        <v>2603.6</v>
      </c>
      <c r="D107" s="27">
        <f t="shared" si="2"/>
        <v>-9.2095165003840791E-4</v>
      </c>
      <c r="F107" s="77">
        <v>44806</v>
      </c>
      <c r="G107" s="78">
        <v>17539.45</v>
      </c>
      <c r="H107" s="27">
        <f t="shared" si="3"/>
        <v>-1.909615340765753E-4</v>
      </c>
    </row>
    <row r="108" spans="2:8" x14ac:dyDescent="0.3">
      <c r="B108" s="132">
        <v>44809</v>
      </c>
      <c r="C108" s="78">
        <v>2600.6</v>
      </c>
      <c r="D108" s="27">
        <f t="shared" si="2"/>
        <v>-1.1522507297587956E-3</v>
      </c>
      <c r="F108" s="77">
        <v>44809</v>
      </c>
      <c r="G108" s="78">
        <v>17665.8</v>
      </c>
      <c r="H108" s="27">
        <f t="shared" si="3"/>
        <v>7.2037606652431254E-3</v>
      </c>
    </row>
    <row r="109" spans="2:8" x14ac:dyDescent="0.3">
      <c r="B109" s="132">
        <v>44810</v>
      </c>
      <c r="C109" s="78">
        <v>2573.1</v>
      </c>
      <c r="D109" s="27">
        <f t="shared" si="2"/>
        <v>-1.0574482811658849E-2</v>
      </c>
      <c r="F109" s="77">
        <v>44810</v>
      </c>
      <c r="G109" s="78">
        <v>17655.599999999999</v>
      </c>
      <c r="H109" s="27">
        <f t="shared" si="3"/>
        <v>-5.7738681520229645E-4</v>
      </c>
    </row>
    <row r="110" spans="2:8" x14ac:dyDescent="0.3">
      <c r="B110" s="132">
        <v>44811</v>
      </c>
      <c r="C110" s="78">
        <v>2564.6</v>
      </c>
      <c r="D110" s="27">
        <f t="shared" si="2"/>
        <v>-3.3034083401344682E-3</v>
      </c>
      <c r="F110" s="77">
        <v>44811</v>
      </c>
      <c r="G110" s="78">
        <v>17624.400000000001</v>
      </c>
      <c r="H110" s="27">
        <f t="shared" si="3"/>
        <v>-1.7671447019640845E-3</v>
      </c>
    </row>
    <row r="111" spans="2:8" x14ac:dyDescent="0.3">
      <c r="B111" s="132">
        <v>44812</v>
      </c>
      <c r="C111" s="78">
        <v>2577.15</v>
      </c>
      <c r="D111" s="27">
        <f t="shared" si="2"/>
        <v>4.8935506511737434E-3</v>
      </c>
      <c r="F111" s="77">
        <v>44812</v>
      </c>
      <c r="G111" s="78">
        <v>17798.75</v>
      </c>
      <c r="H111" s="27">
        <f t="shared" si="3"/>
        <v>9.8925353487210078E-3</v>
      </c>
    </row>
    <row r="112" spans="2:8" x14ac:dyDescent="0.3">
      <c r="B112" s="132">
        <v>44813</v>
      </c>
      <c r="C112" s="78">
        <v>2588.6999999999998</v>
      </c>
      <c r="D112" s="27">
        <f t="shared" si="2"/>
        <v>4.4816948955240191E-3</v>
      </c>
      <c r="F112" s="77">
        <v>44813</v>
      </c>
      <c r="G112" s="78">
        <v>17833.349999999999</v>
      </c>
      <c r="H112" s="27">
        <f t="shared" si="3"/>
        <v>1.9439567385349278E-3</v>
      </c>
    </row>
    <row r="113" spans="2:8" x14ac:dyDescent="0.3">
      <c r="B113" s="132">
        <v>44816</v>
      </c>
      <c r="C113" s="78">
        <v>2580.4</v>
      </c>
      <c r="D113" s="27">
        <f t="shared" si="2"/>
        <v>-3.2062425155482397E-3</v>
      </c>
      <c r="F113" s="77">
        <v>44816</v>
      </c>
      <c r="G113" s="78">
        <v>17936.349999999999</v>
      </c>
      <c r="H113" s="27">
        <f t="shared" si="3"/>
        <v>5.775695536733144E-3</v>
      </c>
    </row>
    <row r="114" spans="2:8" x14ac:dyDescent="0.3">
      <c r="B114" s="132">
        <v>44817</v>
      </c>
      <c r="C114" s="78">
        <v>2586.6</v>
      </c>
      <c r="D114" s="27">
        <f t="shared" si="2"/>
        <v>2.4027282591845521E-3</v>
      </c>
      <c r="F114" s="77">
        <v>44817</v>
      </c>
      <c r="G114" s="78">
        <v>18070.05</v>
      </c>
      <c r="H114" s="27">
        <f t="shared" si="3"/>
        <v>7.4541364324403094E-3</v>
      </c>
    </row>
    <row r="115" spans="2:8" x14ac:dyDescent="0.3">
      <c r="B115" s="132">
        <v>44818</v>
      </c>
      <c r="C115" s="78">
        <v>2571.4</v>
      </c>
      <c r="D115" s="27">
        <f t="shared" si="2"/>
        <v>-5.8764401144358689E-3</v>
      </c>
      <c r="F115" s="77">
        <v>44818</v>
      </c>
      <c r="G115" s="78">
        <v>18003.75</v>
      </c>
      <c r="H115" s="27">
        <f t="shared" si="3"/>
        <v>-3.6690545958643875E-3</v>
      </c>
    </row>
    <row r="116" spans="2:8" x14ac:dyDescent="0.3">
      <c r="B116" s="132">
        <v>44819</v>
      </c>
      <c r="C116" s="78">
        <v>2560.4</v>
      </c>
      <c r="D116" s="27">
        <f t="shared" si="2"/>
        <v>-4.2778253091701017E-3</v>
      </c>
      <c r="F116" s="77">
        <v>44819</v>
      </c>
      <c r="G116" s="78">
        <v>17877.400000000001</v>
      </c>
      <c r="H116" s="27">
        <f t="shared" si="3"/>
        <v>-7.0179823647850336E-3</v>
      </c>
    </row>
    <row r="117" spans="2:8" x14ac:dyDescent="0.3">
      <c r="B117" s="132">
        <v>44820</v>
      </c>
      <c r="C117" s="78">
        <v>2528.15</v>
      </c>
      <c r="D117" s="27">
        <f t="shared" si="2"/>
        <v>-1.2595688173722855E-2</v>
      </c>
      <c r="F117" s="77">
        <v>44820</v>
      </c>
      <c r="G117" s="78">
        <v>17530.849999999999</v>
      </c>
      <c r="H117" s="27">
        <f t="shared" si="3"/>
        <v>-1.9384809871681726E-2</v>
      </c>
    </row>
    <row r="118" spans="2:8" x14ac:dyDescent="0.3">
      <c r="B118" s="132">
        <v>44823</v>
      </c>
      <c r="C118" s="78">
        <v>2579.25</v>
      </c>
      <c r="D118" s="27">
        <f t="shared" si="2"/>
        <v>2.0212408282736353E-2</v>
      </c>
      <c r="F118" s="77">
        <v>44823</v>
      </c>
      <c r="G118" s="78">
        <v>17622.25</v>
      </c>
      <c r="H118" s="27">
        <f t="shared" si="3"/>
        <v>5.2136661941663675E-3</v>
      </c>
    </row>
    <row r="119" spans="2:8" x14ac:dyDescent="0.3">
      <c r="B119" s="132">
        <v>44824</v>
      </c>
      <c r="C119" s="78">
        <v>2583.5500000000002</v>
      </c>
      <c r="D119" s="27">
        <f t="shared" si="2"/>
        <v>1.667151303673619E-3</v>
      </c>
      <c r="F119" s="77">
        <v>44824</v>
      </c>
      <c r="G119" s="78">
        <v>17816.25</v>
      </c>
      <c r="H119" s="27">
        <f t="shared" si="3"/>
        <v>1.1008809885230319E-2</v>
      </c>
    </row>
    <row r="120" spans="2:8" x14ac:dyDescent="0.3">
      <c r="B120" s="132">
        <v>44825</v>
      </c>
      <c r="C120" s="78">
        <v>2623.6</v>
      </c>
      <c r="D120" s="27">
        <f t="shared" si="2"/>
        <v>1.5501925644945801E-2</v>
      </c>
      <c r="F120" s="77">
        <v>44825</v>
      </c>
      <c r="G120" s="78">
        <v>17718.349999999999</v>
      </c>
      <c r="H120" s="27">
        <f t="shared" si="3"/>
        <v>-5.4949835122431179E-3</v>
      </c>
    </row>
    <row r="121" spans="2:8" x14ac:dyDescent="0.3">
      <c r="B121" s="132">
        <v>44826</v>
      </c>
      <c r="C121" s="78">
        <v>2692.75</v>
      </c>
      <c r="D121" s="27">
        <f t="shared" si="2"/>
        <v>2.635691416374451E-2</v>
      </c>
      <c r="F121" s="77">
        <v>44826</v>
      </c>
      <c r="G121" s="78">
        <v>17629.8</v>
      </c>
      <c r="H121" s="27">
        <f t="shared" si="3"/>
        <v>-4.997643685783342E-3</v>
      </c>
    </row>
    <row r="122" spans="2:8" x14ac:dyDescent="0.3">
      <c r="B122" s="132">
        <v>44827</v>
      </c>
      <c r="C122" s="78">
        <v>2682.05</v>
      </c>
      <c r="D122" s="27">
        <f t="shared" si="2"/>
        <v>-3.9736329031658411E-3</v>
      </c>
      <c r="F122" s="77">
        <v>44827</v>
      </c>
      <c r="G122" s="78">
        <v>17327.349999999999</v>
      </c>
      <c r="H122" s="27">
        <f t="shared" si="3"/>
        <v>-1.7155611521401305E-2</v>
      </c>
    </row>
    <row r="123" spans="2:8" x14ac:dyDescent="0.3">
      <c r="B123" s="132">
        <v>44830</v>
      </c>
      <c r="C123" s="78">
        <v>2660.55</v>
      </c>
      <c r="D123" s="27">
        <f t="shared" si="2"/>
        <v>-8.0162562219197996E-3</v>
      </c>
      <c r="F123" s="77">
        <v>44830</v>
      </c>
      <c r="G123" s="78">
        <v>17016.3</v>
      </c>
      <c r="H123" s="27">
        <f t="shared" si="3"/>
        <v>-1.7951388989083692E-2</v>
      </c>
    </row>
    <row r="124" spans="2:8" x14ac:dyDescent="0.3">
      <c r="B124" s="132">
        <v>44831</v>
      </c>
      <c r="C124" s="78">
        <v>2679.25</v>
      </c>
      <c r="D124" s="27">
        <f t="shared" si="2"/>
        <v>7.0286219014864659E-3</v>
      </c>
      <c r="F124" s="77">
        <v>44831</v>
      </c>
      <c r="G124" s="78">
        <v>17007.400000000001</v>
      </c>
      <c r="H124" s="27">
        <f t="shared" si="3"/>
        <v>-5.2302792028806604E-4</v>
      </c>
    </row>
    <row r="125" spans="2:8" x14ac:dyDescent="0.3">
      <c r="B125" s="132">
        <v>44832</v>
      </c>
      <c r="C125" s="78">
        <v>2702.1</v>
      </c>
      <c r="D125" s="27">
        <f t="shared" si="2"/>
        <v>8.5285061117849805E-3</v>
      </c>
      <c r="F125" s="77">
        <v>44832</v>
      </c>
      <c r="G125" s="78">
        <v>16858.599999999999</v>
      </c>
      <c r="H125" s="27">
        <f t="shared" si="3"/>
        <v>-8.7491327304586759E-3</v>
      </c>
    </row>
    <row r="126" spans="2:8" x14ac:dyDescent="0.3">
      <c r="B126" s="132">
        <v>44833</v>
      </c>
      <c r="C126" s="78">
        <v>2700.55</v>
      </c>
      <c r="D126" s="27">
        <f t="shared" si="2"/>
        <v>-5.7362791902584181E-4</v>
      </c>
      <c r="F126" s="77">
        <v>44833</v>
      </c>
      <c r="G126" s="78">
        <v>16818.099999999999</v>
      </c>
      <c r="H126" s="27">
        <f t="shared" si="3"/>
        <v>-2.4023347134400248E-3</v>
      </c>
    </row>
    <row r="127" spans="2:8" x14ac:dyDescent="0.3">
      <c r="B127" s="132">
        <v>44834</v>
      </c>
      <c r="C127" s="78">
        <v>2696.45</v>
      </c>
      <c r="D127" s="27">
        <f t="shared" si="2"/>
        <v>-1.5182092536706832E-3</v>
      </c>
      <c r="F127" s="77">
        <v>44834</v>
      </c>
      <c r="G127" s="78">
        <v>17094.349999999999</v>
      </c>
      <c r="H127" s="27">
        <f t="shared" si="3"/>
        <v>1.6425755584756899E-2</v>
      </c>
    </row>
    <row r="128" spans="2:8" x14ac:dyDescent="0.3">
      <c r="B128" s="132">
        <v>44837</v>
      </c>
      <c r="C128" s="78">
        <v>2622.5</v>
      </c>
      <c r="D128" s="27">
        <f t="shared" si="2"/>
        <v>-2.7424947616310268E-2</v>
      </c>
      <c r="F128" s="77">
        <v>44837</v>
      </c>
      <c r="G128" s="78">
        <v>16887.349999999999</v>
      </c>
      <c r="H128" s="27">
        <f t="shared" si="3"/>
        <v>-1.2109264172080249E-2</v>
      </c>
    </row>
    <row r="129" spans="2:8" x14ac:dyDescent="0.3">
      <c r="B129" s="132">
        <v>44838</v>
      </c>
      <c r="C129" s="78">
        <v>2667.95</v>
      </c>
      <c r="D129" s="27">
        <f t="shared" si="2"/>
        <v>1.7330791229742543E-2</v>
      </c>
      <c r="F129" s="77">
        <v>44838</v>
      </c>
      <c r="G129" s="78">
        <v>17274.3</v>
      </c>
      <c r="H129" s="27">
        <f t="shared" si="3"/>
        <v>2.2913601009039355E-2</v>
      </c>
    </row>
    <row r="130" spans="2:8" x14ac:dyDescent="0.3">
      <c r="B130" s="132">
        <v>44840</v>
      </c>
      <c r="C130" s="78">
        <v>2614</v>
      </c>
      <c r="D130" s="27">
        <f t="shared" si="2"/>
        <v>-2.0221518394272688E-2</v>
      </c>
      <c r="F130" s="77">
        <v>44840</v>
      </c>
      <c r="G130" s="78">
        <v>17331.8</v>
      </c>
      <c r="H130" s="27">
        <f t="shared" si="3"/>
        <v>3.3286442865991675E-3</v>
      </c>
    </row>
    <row r="131" spans="2:8" x14ac:dyDescent="0.3">
      <c r="B131" s="132">
        <v>44841</v>
      </c>
      <c r="C131" s="78">
        <v>2599.6999999999998</v>
      </c>
      <c r="D131" s="27">
        <f t="shared" si="2"/>
        <v>-5.4705432287682409E-3</v>
      </c>
      <c r="F131" s="77">
        <v>44841</v>
      </c>
      <c r="G131" s="78">
        <v>17314.650000000001</v>
      </c>
      <c r="H131" s="27">
        <f t="shared" si="3"/>
        <v>-9.8951061055388466E-4</v>
      </c>
    </row>
    <row r="132" spans="2:8" x14ac:dyDescent="0.3">
      <c r="B132" s="132">
        <v>44844</v>
      </c>
      <c r="C132" s="78">
        <v>2605.6</v>
      </c>
      <c r="D132" s="27">
        <f t="shared" si="2"/>
        <v>2.2694926337654695E-3</v>
      </c>
      <c r="F132" s="77">
        <v>44844</v>
      </c>
      <c r="G132" s="78">
        <v>17241</v>
      </c>
      <c r="H132" s="27">
        <f t="shared" si="3"/>
        <v>-4.2536233767359695E-3</v>
      </c>
    </row>
    <row r="133" spans="2:8" x14ac:dyDescent="0.3">
      <c r="B133" s="132">
        <v>44845</v>
      </c>
      <c r="C133" s="78">
        <v>2550.65</v>
      </c>
      <c r="D133" s="27">
        <f t="shared" ref="D133:D196" si="4">(C133-C132)/C132</f>
        <v>-2.1089192508443284E-2</v>
      </c>
      <c r="F133" s="77">
        <v>44845</v>
      </c>
      <c r="G133" s="78">
        <v>16983.55</v>
      </c>
      <c r="H133" s="27">
        <f t="shared" ref="H133:H196" si="5">(G133-G132)/G132</f>
        <v>-1.4932428513427338E-2</v>
      </c>
    </row>
    <row r="134" spans="2:8" x14ac:dyDescent="0.3">
      <c r="B134" s="132">
        <v>44846</v>
      </c>
      <c r="C134" s="78">
        <v>2591.35</v>
      </c>
      <c r="D134" s="27">
        <f t="shared" si="4"/>
        <v>1.5956716915296029E-2</v>
      </c>
      <c r="F134" s="77">
        <v>44846</v>
      </c>
      <c r="G134" s="78">
        <v>17123.599999999999</v>
      </c>
      <c r="H134" s="27">
        <f t="shared" si="5"/>
        <v>8.2462147195373914E-3</v>
      </c>
    </row>
    <row r="135" spans="2:8" x14ac:dyDescent="0.3">
      <c r="B135" s="132">
        <v>44847</v>
      </c>
      <c r="C135" s="78">
        <v>2566.4</v>
      </c>
      <c r="D135" s="27">
        <f t="shared" si="4"/>
        <v>-9.6281860806142813E-3</v>
      </c>
      <c r="F135" s="77">
        <v>44847</v>
      </c>
      <c r="G135" s="78">
        <v>17014.349999999999</v>
      </c>
      <c r="H135" s="27">
        <f t="shared" si="5"/>
        <v>-6.3800836272746393E-3</v>
      </c>
    </row>
    <row r="136" spans="2:8" x14ac:dyDescent="0.3">
      <c r="B136" s="132">
        <v>44848</v>
      </c>
      <c r="C136" s="78">
        <v>2565.58</v>
      </c>
      <c r="D136" s="27">
        <f t="shared" si="4"/>
        <v>-3.1951371571078697E-4</v>
      </c>
      <c r="F136" s="77">
        <v>44848</v>
      </c>
      <c r="G136" s="78">
        <v>17185.7</v>
      </c>
      <c r="H136" s="27">
        <f t="shared" si="5"/>
        <v>1.0070910731235821E-2</v>
      </c>
    </row>
    <row r="137" spans="2:8" x14ac:dyDescent="0.3">
      <c r="B137" s="132">
        <v>44851</v>
      </c>
      <c r="C137" s="78">
        <v>2580.2800000000002</v>
      </c>
      <c r="D137" s="27">
        <f t="shared" si="4"/>
        <v>5.7296985476969235E-3</v>
      </c>
      <c r="F137" s="77">
        <v>44851</v>
      </c>
      <c r="G137" s="78">
        <v>17311.8</v>
      </c>
      <c r="H137" s="27">
        <f t="shared" si="5"/>
        <v>7.3374957086414019E-3</v>
      </c>
    </row>
    <row r="138" spans="2:8" x14ac:dyDescent="0.3">
      <c r="B138" s="132">
        <v>44852</v>
      </c>
      <c r="C138" s="78">
        <v>2591.9299999999998</v>
      </c>
      <c r="D138" s="27">
        <f t="shared" si="4"/>
        <v>4.5150138744630948E-3</v>
      </c>
      <c r="F138" s="77">
        <v>44852</v>
      </c>
      <c r="G138" s="78">
        <v>17486.95</v>
      </c>
      <c r="H138" s="27">
        <f t="shared" si="5"/>
        <v>1.0117376587067866E-2</v>
      </c>
    </row>
    <row r="139" spans="2:8" x14ac:dyDescent="0.3">
      <c r="B139" s="132">
        <v>44853</v>
      </c>
      <c r="C139" s="78">
        <v>2572.7600000000002</v>
      </c>
      <c r="D139" s="27">
        <f t="shared" si="4"/>
        <v>-7.3960330718806522E-3</v>
      </c>
      <c r="F139" s="77">
        <v>44853</v>
      </c>
      <c r="G139" s="78">
        <v>17512.25</v>
      </c>
      <c r="H139" s="27">
        <f t="shared" si="5"/>
        <v>1.4467931800570867E-3</v>
      </c>
    </row>
    <row r="140" spans="2:8" x14ac:dyDescent="0.3">
      <c r="B140" s="132">
        <v>44854</v>
      </c>
      <c r="C140" s="78">
        <v>2590.58</v>
      </c>
      <c r="D140" s="27">
        <f t="shared" si="4"/>
        <v>6.9264136569286323E-3</v>
      </c>
      <c r="F140" s="77">
        <v>44854</v>
      </c>
      <c r="G140" s="78">
        <v>17563.95</v>
      </c>
      <c r="H140" s="27">
        <f t="shared" si="5"/>
        <v>2.9522191608731445E-3</v>
      </c>
    </row>
    <row r="141" spans="2:8" x14ac:dyDescent="0.3">
      <c r="B141" s="132">
        <v>44855</v>
      </c>
      <c r="C141" s="78">
        <v>2643.38</v>
      </c>
      <c r="D141" s="27">
        <f t="shared" si="4"/>
        <v>2.0381536181086932E-2</v>
      </c>
      <c r="F141" s="77">
        <v>44855</v>
      </c>
      <c r="G141" s="78">
        <v>17576.3</v>
      </c>
      <c r="H141" s="27">
        <f t="shared" si="5"/>
        <v>7.0314479373936639E-4</v>
      </c>
    </row>
    <row r="142" spans="2:8" x14ac:dyDescent="0.3">
      <c r="B142" s="132">
        <v>44858</v>
      </c>
      <c r="C142" s="78">
        <v>2562.9</v>
      </c>
      <c r="D142" s="27">
        <f t="shared" si="4"/>
        <v>-3.0445868547087446E-2</v>
      </c>
      <c r="F142" s="77">
        <v>44858</v>
      </c>
      <c r="G142" s="78">
        <v>17730.75</v>
      </c>
      <c r="H142" s="27">
        <f t="shared" si="5"/>
        <v>8.7874012164107767E-3</v>
      </c>
    </row>
    <row r="143" spans="2:8" x14ac:dyDescent="0.3">
      <c r="B143" s="132">
        <v>44859</v>
      </c>
      <c r="C143" s="78">
        <v>2495.46</v>
      </c>
      <c r="D143" s="27">
        <f t="shared" si="4"/>
        <v>-2.6313941238440851E-2</v>
      </c>
      <c r="F143" s="77">
        <v>44859</v>
      </c>
      <c r="G143" s="78">
        <v>17656.349999999999</v>
      </c>
      <c r="H143" s="27">
        <f t="shared" si="5"/>
        <v>-4.1960999957701426E-3</v>
      </c>
    </row>
    <row r="144" spans="2:8" x14ac:dyDescent="0.3">
      <c r="B144" s="132">
        <v>44861</v>
      </c>
      <c r="C144" s="78">
        <v>2509.0100000000002</v>
      </c>
      <c r="D144" s="27">
        <f t="shared" si="4"/>
        <v>5.42986062689852E-3</v>
      </c>
      <c r="F144" s="77">
        <v>44861</v>
      </c>
      <c r="G144" s="78">
        <v>17736.95</v>
      </c>
      <c r="H144" s="27">
        <f t="shared" si="5"/>
        <v>4.564929897742296E-3</v>
      </c>
    </row>
    <row r="145" spans="2:8" x14ac:dyDescent="0.3">
      <c r="B145" s="132">
        <v>44862</v>
      </c>
      <c r="C145" s="78">
        <v>2514.2399999999998</v>
      </c>
      <c r="D145" s="27">
        <f t="shared" si="4"/>
        <v>2.0844875070245091E-3</v>
      </c>
      <c r="F145" s="77">
        <v>44862</v>
      </c>
      <c r="G145" s="78">
        <v>17786.8</v>
      </c>
      <c r="H145" s="27">
        <f t="shared" si="5"/>
        <v>2.8105170280120621E-3</v>
      </c>
    </row>
    <row r="146" spans="2:8" x14ac:dyDescent="0.3">
      <c r="B146" s="132">
        <v>44865</v>
      </c>
      <c r="C146" s="78">
        <v>2540.58</v>
      </c>
      <c r="D146" s="27">
        <f t="shared" si="4"/>
        <v>1.0476326842306283E-2</v>
      </c>
      <c r="F146" s="77">
        <v>44865</v>
      </c>
      <c r="G146" s="78">
        <v>18012.2</v>
      </c>
      <c r="H146" s="27">
        <f t="shared" si="5"/>
        <v>1.2672318798209991E-2</v>
      </c>
    </row>
    <row r="147" spans="2:8" x14ac:dyDescent="0.3">
      <c r="B147" s="132">
        <v>44866</v>
      </c>
      <c r="C147" s="78">
        <v>2541.6799999999998</v>
      </c>
      <c r="D147" s="27">
        <f t="shared" si="4"/>
        <v>4.3297199851998722E-4</v>
      </c>
      <c r="F147" s="77">
        <v>44866</v>
      </c>
      <c r="G147" s="78">
        <v>18145.400000000001</v>
      </c>
      <c r="H147" s="27">
        <f t="shared" si="5"/>
        <v>7.3949878415740843E-3</v>
      </c>
    </row>
    <row r="148" spans="2:8" x14ac:dyDescent="0.3">
      <c r="B148" s="132">
        <v>44867</v>
      </c>
      <c r="C148" s="78">
        <v>2508.31</v>
      </c>
      <c r="D148" s="27">
        <f t="shared" si="4"/>
        <v>-1.3129111453841512E-2</v>
      </c>
      <c r="F148" s="77">
        <v>44867</v>
      </c>
      <c r="G148" s="78">
        <v>18082.849999999999</v>
      </c>
      <c r="H148" s="27">
        <f t="shared" si="5"/>
        <v>-3.4471546507656432E-3</v>
      </c>
    </row>
    <row r="149" spans="2:8" x14ac:dyDescent="0.3">
      <c r="B149" s="132">
        <v>44868</v>
      </c>
      <c r="C149" s="78">
        <v>2536.25</v>
      </c>
      <c r="D149" s="27">
        <f t="shared" si="4"/>
        <v>1.1138974050256968E-2</v>
      </c>
      <c r="F149" s="77">
        <v>44868</v>
      </c>
      <c r="G149" s="78">
        <v>18052.7</v>
      </c>
      <c r="H149" s="27">
        <f t="shared" si="5"/>
        <v>-1.6673256704555874E-3</v>
      </c>
    </row>
    <row r="150" spans="2:8" x14ac:dyDescent="0.3">
      <c r="B150" s="132">
        <v>44869</v>
      </c>
      <c r="C150" s="78">
        <v>2510.35</v>
      </c>
      <c r="D150" s="27">
        <f t="shared" si="4"/>
        <v>-1.0211927057663909E-2</v>
      </c>
      <c r="F150" s="77">
        <v>44869</v>
      </c>
      <c r="G150" s="78">
        <v>18117.150000000001</v>
      </c>
      <c r="H150" s="27">
        <f t="shared" si="5"/>
        <v>3.5701030870728878E-3</v>
      </c>
    </row>
    <row r="151" spans="2:8" x14ac:dyDescent="0.3">
      <c r="B151" s="132">
        <v>44872</v>
      </c>
      <c r="C151" s="78">
        <v>2522.75</v>
      </c>
      <c r="D151" s="27">
        <f t="shared" si="4"/>
        <v>4.9395502619157053E-3</v>
      </c>
      <c r="F151" s="77">
        <v>44872</v>
      </c>
      <c r="G151" s="78">
        <v>18202.8</v>
      </c>
      <c r="H151" s="27">
        <f t="shared" si="5"/>
        <v>4.7275647659812837E-3</v>
      </c>
    </row>
    <row r="152" spans="2:8" x14ac:dyDescent="0.3">
      <c r="B152" s="132">
        <v>44874</v>
      </c>
      <c r="C152" s="78">
        <v>2498.85</v>
      </c>
      <c r="D152" s="27">
        <f t="shared" si="4"/>
        <v>-9.4737885244277446E-3</v>
      </c>
      <c r="F152" s="77">
        <v>44874</v>
      </c>
      <c r="G152" s="78">
        <v>18157</v>
      </c>
      <c r="H152" s="27">
        <f t="shared" si="5"/>
        <v>-2.5160964247258263E-3</v>
      </c>
    </row>
    <row r="153" spans="2:8" x14ac:dyDescent="0.3">
      <c r="B153" s="132">
        <v>44875</v>
      </c>
      <c r="C153" s="78">
        <v>2503.63</v>
      </c>
      <c r="D153" s="27">
        <f t="shared" si="4"/>
        <v>1.9128799247654722E-3</v>
      </c>
      <c r="F153" s="77">
        <v>44875</v>
      </c>
      <c r="G153" s="78">
        <v>18028.2</v>
      </c>
      <c r="H153" s="27">
        <f t="shared" si="5"/>
        <v>-7.0936828771272385E-3</v>
      </c>
    </row>
    <row r="154" spans="2:8" x14ac:dyDescent="0.3">
      <c r="B154" s="132">
        <v>44876</v>
      </c>
      <c r="C154" s="78">
        <v>2493.12</v>
      </c>
      <c r="D154" s="27">
        <f t="shared" si="4"/>
        <v>-4.1979046424592366E-3</v>
      </c>
      <c r="F154" s="77">
        <v>44876</v>
      </c>
      <c r="G154" s="78">
        <v>18349.7</v>
      </c>
      <c r="H154" s="27">
        <f t="shared" si="5"/>
        <v>1.7833172474234809E-2</v>
      </c>
    </row>
    <row r="155" spans="2:8" x14ac:dyDescent="0.3">
      <c r="B155" s="132">
        <v>44879</v>
      </c>
      <c r="C155" s="78">
        <v>2448.0500000000002</v>
      </c>
      <c r="D155" s="27">
        <f t="shared" si="4"/>
        <v>-1.8077749967911578E-2</v>
      </c>
      <c r="F155" s="77">
        <v>44879</v>
      </c>
      <c r="G155" s="78">
        <v>18329.150000000001</v>
      </c>
      <c r="H155" s="27">
        <f t="shared" si="5"/>
        <v>-1.1199093173184995E-3</v>
      </c>
    </row>
    <row r="156" spans="2:8" x14ac:dyDescent="0.3">
      <c r="B156" s="132">
        <v>44880</v>
      </c>
      <c r="C156" s="78">
        <v>2447.75</v>
      </c>
      <c r="D156" s="27">
        <f t="shared" si="4"/>
        <v>-1.225465166153395E-4</v>
      </c>
      <c r="F156" s="77">
        <v>44880</v>
      </c>
      <c r="G156" s="78">
        <v>18403.400000000001</v>
      </c>
      <c r="H156" s="27">
        <f t="shared" si="5"/>
        <v>4.0509243472828796E-3</v>
      </c>
    </row>
    <row r="157" spans="2:8" x14ac:dyDescent="0.3">
      <c r="B157" s="132">
        <v>44881</v>
      </c>
      <c r="C157" s="78">
        <v>2468.02</v>
      </c>
      <c r="D157" s="27">
        <f t="shared" si="4"/>
        <v>8.2810744561331757E-3</v>
      </c>
      <c r="F157" s="77">
        <v>44881</v>
      </c>
      <c r="G157" s="78">
        <v>18409.650000000001</v>
      </c>
      <c r="H157" s="27">
        <f t="shared" si="5"/>
        <v>3.3961115880761162E-4</v>
      </c>
    </row>
    <row r="158" spans="2:8" x14ac:dyDescent="0.3">
      <c r="B158" s="132">
        <v>44882</v>
      </c>
      <c r="C158" s="78">
        <v>2450.2399999999998</v>
      </c>
      <c r="D158" s="27">
        <f t="shared" si="4"/>
        <v>-7.2041555578966944E-3</v>
      </c>
      <c r="F158" s="77">
        <v>44882</v>
      </c>
      <c r="G158" s="78">
        <v>18343.900000000001</v>
      </c>
      <c r="H158" s="27">
        <f t="shared" si="5"/>
        <v>-3.571496470601016E-3</v>
      </c>
    </row>
    <row r="159" spans="2:8" x14ac:dyDescent="0.3">
      <c r="B159" s="132">
        <v>44883</v>
      </c>
      <c r="C159" s="78">
        <v>2473.85</v>
      </c>
      <c r="D159" s="27">
        <f t="shared" si="4"/>
        <v>9.6357907796787781E-3</v>
      </c>
      <c r="F159" s="77">
        <v>44883</v>
      </c>
      <c r="G159" s="78">
        <v>18307.650000000001</v>
      </c>
      <c r="H159" s="27">
        <f t="shared" si="5"/>
        <v>-1.9761337556353882E-3</v>
      </c>
    </row>
    <row r="160" spans="2:8" x14ac:dyDescent="0.3">
      <c r="B160" s="132">
        <v>44886</v>
      </c>
      <c r="C160" s="78">
        <v>2491.48</v>
      </c>
      <c r="D160" s="27">
        <f t="shared" si="4"/>
        <v>7.1265436465428825E-3</v>
      </c>
      <c r="F160" s="77">
        <v>44886</v>
      </c>
      <c r="G160" s="78">
        <v>18159.95</v>
      </c>
      <c r="H160" s="27">
        <f t="shared" si="5"/>
        <v>-8.0676657025888481E-3</v>
      </c>
    </row>
    <row r="161" spans="2:8" x14ac:dyDescent="0.3">
      <c r="B161" s="132">
        <v>44887</v>
      </c>
      <c r="C161" s="78">
        <v>2505.7199999999998</v>
      </c>
      <c r="D161" s="27">
        <f t="shared" si="4"/>
        <v>5.7154783502174535E-3</v>
      </c>
      <c r="F161" s="77">
        <v>44887</v>
      </c>
      <c r="G161" s="78">
        <v>18244.2</v>
      </c>
      <c r="H161" s="27">
        <f t="shared" si="5"/>
        <v>4.6393299541022965E-3</v>
      </c>
    </row>
    <row r="162" spans="2:8" x14ac:dyDescent="0.3">
      <c r="B162" s="132">
        <v>44888</v>
      </c>
      <c r="C162" s="78">
        <v>2497.41</v>
      </c>
      <c r="D162" s="27">
        <f t="shared" si="4"/>
        <v>-3.3164120492313372E-3</v>
      </c>
      <c r="F162" s="77">
        <v>44888</v>
      </c>
      <c r="G162" s="78">
        <v>18267.25</v>
      </c>
      <c r="H162" s="27">
        <f t="shared" si="5"/>
        <v>1.2634152223720016E-3</v>
      </c>
    </row>
    <row r="163" spans="2:8" x14ac:dyDescent="0.3">
      <c r="B163" s="132">
        <v>44889</v>
      </c>
      <c r="C163" s="78">
        <v>2539.04</v>
      </c>
      <c r="D163" s="27">
        <f t="shared" si="4"/>
        <v>1.6669269363060176E-2</v>
      </c>
      <c r="F163" s="77">
        <v>44889</v>
      </c>
      <c r="G163" s="78">
        <v>18484.099999999999</v>
      </c>
      <c r="H163" s="27">
        <f t="shared" si="5"/>
        <v>1.1870971273727493E-2</v>
      </c>
    </row>
    <row r="164" spans="2:8" x14ac:dyDescent="0.3">
      <c r="B164" s="132">
        <v>44890</v>
      </c>
      <c r="C164" s="78">
        <v>2527.39</v>
      </c>
      <c r="D164" s="27">
        <f t="shared" si="4"/>
        <v>-4.5883483521331255E-3</v>
      </c>
      <c r="F164" s="77">
        <v>44890</v>
      </c>
      <c r="G164" s="78">
        <v>18512.75</v>
      </c>
      <c r="H164" s="27">
        <f t="shared" si="5"/>
        <v>1.5499807943043728E-3</v>
      </c>
    </row>
    <row r="165" spans="2:8" x14ac:dyDescent="0.3">
      <c r="B165" s="132">
        <v>44893</v>
      </c>
      <c r="C165" s="78">
        <v>2515.19</v>
      </c>
      <c r="D165" s="27">
        <f t="shared" si="4"/>
        <v>-4.827114137509375E-3</v>
      </c>
      <c r="F165" s="77">
        <v>44893</v>
      </c>
      <c r="G165" s="78">
        <v>18562.75</v>
      </c>
      <c r="H165" s="27">
        <f t="shared" si="5"/>
        <v>2.7008413120687092E-3</v>
      </c>
    </row>
    <row r="166" spans="2:8" x14ac:dyDescent="0.3">
      <c r="B166" s="132">
        <v>44894</v>
      </c>
      <c r="C166" s="78">
        <v>2623.75</v>
      </c>
      <c r="D166" s="27">
        <f t="shared" si="4"/>
        <v>4.3161749211789148E-2</v>
      </c>
      <c r="F166" s="77">
        <v>44894</v>
      </c>
      <c r="G166" s="78">
        <v>18618.05</v>
      </c>
      <c r="H166" s="27">
        <f t="shared" si="5"/>
        <v>2.9790844567749537E-3</v>
      </c>
    </row>
    <row r="167" spans="2:8" x14ac:dyDescent="0.3">
      <c r="B167" s="132">
        <v>44895</v>
      </c>
      <c r="C167" s="78">
        <v>2673.7</v>
      </c>
      <c r="D167" s="27">
        <f t="shared" si="4"/>
        <v>1.9037636969985637E-2</v>
      </c>
      <c r="F167" s="77">
        <v>44895</v>
      </c>
      <c r="G167" s="78">
        <v>18758.349999999999</v>
      </c>
      <c r="H167" s="27">
        <f t="shared" si="5"/>
        <v>7.5356978845797108E-3</v>
      </c>
    </row>
    <row r="168" spans="2:8" x14ac:dyDescent="0.3">
      <c r="B168" s="132">
        <v>44896</v>
      </c>
      <c r="C168" s="78">
        <v>2652.29</v>
      </c>
      <c r="D168" s="27">
        <f t="shared" si="4"/>
        <v>-8.0076298762014643E-3</v>
      </c>
      <c r="F168" s="77">
        <v>44896</v>
      </c>
      <c r="G168" s="78">
        <v>18812.5</v>
      </c>
      <c r="H168" s="27">
        <f t="shared" si="5"/>
        <v>2.8867144498317529E-3</v>
      </c>
    </row>
    <row r="169" spans="2:8" x14ac:dyDescent="0.3">
      <c r="B169" s="132">
        <v>44897</v>
      </c>
      <c r="C169" s="78">
        <v>2604.73</v>
      </c>
      <c r="D169" s="27">
        <f t="shared" si="4"/>
        <v>-1.7931674138197538E-2</v>
      </c>
      <c r="F169" s="77">
        <v>44897</v>
      </c>
      <c r="G169" s="78">
        <v>18696.099999999999</v>
      </c>
      <c r="H169" s="27">
        <f t="shared" si="5"/>
        <v>-6.1873754152824692E-3</v>
      </c>
    </row>
    <row r="170" spans="2:8" x14ac:dyDescent="0.3">
      <c r="B170" s="132">
        <v>44900</v>
      </c>
      <c r="C170" s="78">
        <v>2609.46</v>
      </c>
      <c r="D170" s="27">
        <f t="shared" si="4"/>
        <v>1.8159271786327251E-3</v>
      </c>
      <c r="F170" s="77">
        <v>44900</v>
      </c>
      <c r="G170" s="78">
        <v>18701.05</v>
      </c>
      <c r="H170" s="27">
        <f t="shared" si="5"/>
        <v>2.6476109990857601E-4</v>
      </c>
    </row>
    <row r="171" spans="2:8" x14ac:dyDescent="0.3">
      <c r="B171" s="132">
        <v>44901</v>
      </c>
      <c r="C171" s="78">
        <v>2644.02</v>
      </c>
      <c r="D171" s="27">
        <f t="shared" si="4"/>
        <v>1.3244119472994392E-2</v>
      </c>
      <c r="F171" s="77">
        <v>44901</v>
      </c>
      <c r="G171" s="78">
        <v>18642.75</v>
      </c>
      <c r="H171" s="27">
        <f t="shared" si="5"/>
        <v>-3.1174720136034756E-3</v>
      </c>
    </row>
    <row r="172" spans="2:8" x14ac:dyDescent="0.3">
      <c r="B172" s="132">
        <v>44902</v>
      </c>
      <c r="C172" s="78">
        <v>2696.61</v>
      </c>
      <c r="D172" s="27">
        <f t="shared" si="4"/>
        <v>1.989016724533103E-2</v>
      </c>
      <c r="F172" s="77">
        <v>44902</v>
      </c>
      <c r="G172" s="78">
        <v>18560.5</v>
      </c>
      <c r="H172" s="27">
        <f t="shared" si="5"/>
        <v>-4.4119027503989484E-3</v>
      </c>
    </row>
    <row r="173" spans="2:8" x14ac:dyDescent="0.3">
      <c r="B173" s="132">
        <v>44903</v>
      </c>
      <c r="C173" s="78">
        <v>2694.72</v>
      </c>
      <c r="D173" s="27">
        <f t="shared" si="4"/>
        <v>-7.0087999377007703E-4</v>
      </c>
      <c r="F173" s="77">
        <v>44903</v>
      </c>
      <c r="G173" s="78">
        <v>18609.349999999999</v>
      </c>
      <c r="H173" s="27">
        <f t="shared" si="5"/>
        <v>2.6319334069663286E-3</v>
      </c>
    </row>
    <row r="174" spans="2:8" x14ac:dyDescent="0.3">
      <c r="B174" s="132">
        <v>44904</v>
      </c>
      <c r="C174" s="78">
        <v>2711.45</v>
      </c>
      <c r="D174" s="27">
        <f t="shared" si="4"/>
        <v>6.2084372402327588E-3</v>
      </c>
      <c r="F174" s="77">
        <v>44904</v>
      </c>
      <c r="G174" s="78">
        <v>18496.599999999999</v>
      </c>
      <c r="H174" s="27">
        <f t="shared" si="5"/>
        <v>-6.0587822788007112E-3</v>
      </c>
    </row>
    <row r="175" spans="2:8" x14ac:dyDescent="0.3">
      <c r="B175" s="132">
        <v>44907</v>
      </c>
      <c r="C175" s="78">
        <v>2706.47</v>
      </c>
      <c r="D175" s="27">
        <f t="shared" si="4"/>
        <v>-1.8366556639436533E-3</v>
      </c>
      <c r="F175" s="77">
        <v>44907</v>
      </c>
      <c r="G175" s="78">
        <v>18497.150000000001</v>
      </c>
      <c r="H175" s="27">
        <f t="shared" si="5"/>
        <v>2.9735194576457857E-5</v>
      </c>
    </row>
    <row r="176" spans="2:8" x14ac:dyDescent="0.3">
      <c r="B176" s="132">
        <v>44908</v>
      </c>
      <c r="C176" s="78">
        <v>2699.55</v>
      </c>
      <c r="D176" s="27">
        <f t="shared" si="4"/>
        <v>-2.5568360262628511E-3</v>
      </c>
      <c r="F176" s="77">
        <v>44908</v>
      </c>
      <c r="G176" s="78">
        <v>18608</v>
      </c>
      <c r="H176" s="27">
        <f t="shared" si="5"/>
        <v>5.9928151093546055E-3</v>
      </c>
    </row>
    <row r="177" spans="2:8" x14ac:dyDescent="0.3">
      <c r="B177" s="132">
        <v>44909</v>
      </c>
      <c r="C177" s="78">
        <v>2674</v>
      </c>
      <c r="D177" s="27">
        <f t="shared" si="4"/>
        <v>-9.4645403863607563E-3</v>
      </c>
      <c r="F177" s="77">
        <v>44909</v>
      </c>
      <c r="G177" s="78">
        <v>18660.3</v>
      </c>
      <c r="H177" s="27">
        <f t="shared" si="5"/>
        <v>2.8106190885640193E-3</v>
      </c>
    </row>
    <row r="178" spans="2:8" x14ac:dyDescent="0.3">
      <c r="B178" s="132">
        <v>44910</v>
      </c>
      <c r="C178" s="78">
        <v>2652.69</v>
      </c>
      <c r="D178" s="27">
        <f t="shared" si="4"/>
        <v>-7.9693343305908548E-3</v>
      </c>
      <c r="F178" s="77">
        <v>44910</v>
      </c>
      <c r="G178" s="78">
        <v>18414.900000000001</v>
      </c>
      <c r="H178" s="27">
        <f t="shared" si="5"/>
        <v>-1.3150913972444056E-2</v>
      </c>
    </row>
    <row r="179" spans="2:8" x14ac:dyDescent="0.3">
      <c r="B179" s="132">
        <v>44911</v>
      </c>
      <c r="C179" s="78">
        <v>2660.71</v>
      </c>
      <c r="D179" s="27">
        <f t="shared" si="4"/>
        <v>3.0233461128137784E-3</v>
      </c>
      <c r="F179" s="77">
        <v>44911</v>
      </c>
      <c r="G179" s="78">
        <v>18269</v>
      </c>
      <c r="H179" s="27">
        <f t="shared" si="5"/>
        <v>-7.9229319735649641E-3</v>
      </c>
    </row>
    <row r="180" spans="2:8" x14ac:dyDescent="0.3">
      <c r="B180" s="132">
        <v>44914</v>
      </c>
      <c r="C180" s="78">
        <v>2707.32</v>
      </c>
      <c r="D180" s="27">
        <f t="shared" si="4"/>
        <v>1.7517880565713712E-2</v>
      </c>
      <c r="F180" s="77">
        <v>44914</v>
      </c>
      <c r="G180" s="78">
        <v>18420.45</v>
      </c>
      <c r="H180" s="27">
        <f t="shared" si="5"/>
        <v>8.2899994526247044E-3</v>
      </c>
    </row>
    <row r="181" spans="2:8" x14ac:dyDescent="0.3">
      <c r="B181" s="132">
        <v>44915</v>
      </c>
      <c r="C181" s="78">
        <v>2663.94</v>
      </c>
      <c r="D181" s="27">
        <f t="shared" si="4"/>
        <v>-1.6023225920836881E-2</v>
      </c>
      <c r="F181" s="77">
        <v>44915</v>
      </c>
      <c r="G181" s="78">
        <v>18385.3</v>
      </c>
      <c r="H181" s="27">
        <f t="shared" si="5"/>
        <v>-1.9082052827157562E-3</v>
      </c>
    </row>
    <row r="182" spans="2:8" x14ac:dyDescent="0.3">
      <c r="B182" s="132">
        <v>44916</v>
      </c>
      <c r="C182" s="78">
        <v>2655.63</v>
      </c>
      <c r="D182" s="27">
        <f t="shared" si="4"/>
        <v>-3.1194396270186062E-3</v>
      </c>
      <c r="F182" s="77">
        <v>44916</v>
      </c>
      <c r="G182" s="78">
        <v>18199.099999999999</v>
      </c>
      <c r="H182" s="27">
        <f t="shared" si="5"/>
        <v>-1.0127656334136551E-2</v>
      </c>
    </row>
    <row r="183" spans="2:8" x14ac:dyDescent="0.3">
      <c r="B183" s="132">
        <v>44917</v>
      </c>
      <c r="C183" s="78">
        <v>2634.86</v>
      </c>
      <c r="D183" s="27">
        <f t="shared" si="4"/>
        <v>-7.8211196589886324E-3</v>
      </c>
      <c r="F183" s="77">
        <v>44917</v>
      </c>
      <c r="G183" s="78">
        <v>18127.349999999999</v>
      </c>
      <c r="H183" s="27">
        <f t="shared" si="5"/>
        <v>-3.9425026512300062E-3</v>
      </c>
    </row>
    <row r="184" spans="2:8" x14ac:dyDescent="0.3">
      <c r="B184" s="132">
        <v>44918</v>
      </c>
      <c r="C184" s="78">
        <v>2610.71</v>
      </c>
      <c r="D184" s="27">
        <f t="shared" si="4"/>
        <v>-9.1655723643761303E-3</v>
      </c>
      <c r="F184" s="77">
        <v>44918</v>
      </c>
      <c r="G184" s="78">
        <v>17806.8</v>
      </c>
      <c r="H184" s="27">
        <f t="shared" si="5"/>
        <v>-1.7683224519855319E-2</v>
      </c>
    </row>
    <row r="185" spans="2:8" x14ac:dyDescent="0.3">
      <c r="B185" s="132">
        <v>44921</v>
      </c>
      <c r="C185" s="78">
        <v>2607.0700000000002</v>
      </c>
      <c r="D185" s="27">
        <f t="shared" si="4"/>
        <v>-1.3942567347579289E-3</v>
      </c>
      <c r="F185" s="77">
        <v>44921</v>
      </c>
      <c r="G185" s="78">
        <v>18014.599999999999</v>
      </c>
      <c r="H185" s="27">
        <f t="shared" si="5"/>
        <v>1.1669699216029792E-2</v>
      </c>
    </row>
    <row r="186" spans="2:8" x14ac:dyDescent="0.3">
      <c r="B186" s="132">
        <v>44922</v>
      </c>
      <c r="C186" s="78">
        <v>2582.9699999999998</v>
      </c>
      <c r="D186" s="27">
        <f t="shared" si="4"/>
        <v>-9.2440939445432475E-3</v>
      </c>
      <c r="F186" s="77">
        <v>44922</v>
      </c>
      <c r="G186" s="78">
        <v>18132.3</v>
      </c>
      <c r="H186" s="27">
        <f t="shared" si="5"/>
        <v>6.5335894219133777E-3</v>
      </c>
    </row>
    <row r="187" spans="2:8" x14ac:dyDescent="0.3">
      <c r="B187" s="132">
        <v>44923</v>
      </c>
      <c r="C187" s="78">
        <v>2573.35</v>
      </c>
      <c r="D187" s="27">
        <f t="shared" si="4"/>
        <v>-3.7243947858472577E-3</v>
      </c>
      <c r="F187" s="77">
        <v>44923</v>
      </c>
      <c r="G187" s="78">
        <v>18122.5</v>
      </c>
      <c r="H187" s="27">
        <f t="shared" si="5"/>
        <v>-5.4047197542503008E-4</v>
      </c>
    </row>
    <row r="188" spans="2:8" x14ac:dyDescent="0.3">
      <c r="B188" s="132">
        <v>44924</v>
      </c>
      <c r="C188" s="78">
        <v>2557.86</v>
      </c>
      <c r="D188" s="27">
        <f t="shared" si="4"/>
        <v>-6.0193910661199531E-3</v>
      </c>
      <c r="F188" s="77">
        <v>44924</v>
      </c>
      <c r="G188" s="78">
        <v>18191</v>
      </c>
      <c r="H188" s="27">
        <f t="shared" si="5"/>
        <v>3.7798317009242652E-3</v>
      </c>
    </row>
    <row r="189" spans="2:8" x14ac:dyDescent="0.3">
      <c r="B189" s="132">
        <v>44925</v>
      </c>
      <c r="C189" s="78">
        <v>2550.89</v>
      </c>
      <c r="D189" s="27">
        <f t="shared" si="4"/>
        <v>-2.7249341246198986E-3</v>
      </c>
      <c r="F189" s="77">
        <v>44925</v>
      </c>
      <c r="G189" s="78">
        <v>18105.3</v>
      </c>
      <c r="H189" s="27">
        <f t="shared" si="5"/>
        <v>-4.7111208839536439E-3</v>
      </c>
    </row>
    <row r="190" spans="2:8" x14ac:dyDescent="0.3">
      <c r="B190" s="132">
        <v>44928</v>
      </c>
      <c r="C190" s="78">
        <v>2548.25</v>
      </c>
      <c r="D190" s="27">
        <f t="shared" si="4"/>
        <v>-1.0349329057700932E-3</v>
      </c>
      <c r="F190" s="77">
        <v>44928</v>
      </c>
      <c r="G190" s="78">
        <v>18197.45</v>
      </c>
      <c r="H190" s="27">
        <f t="shared" si="5"/>
        <v>5.0896698756718456E-3</v>
      </c>
    </row>
    <row r="191" spans="2:8" x14ac:dyDescent="0.3">
      <c r="B191" s="132">
        <v>44929</v>
      </c>
      <c r="C191" s="78">
        <v>2531.9699999999998</v>
      </c>
      <c r="D191" s="27">
        <f t="shared" si="4"/>
        <v>-6.3886981261650939E-3</v>
      </c>
      <c r="F191" s="77">
        <v>44929</v>
      </c>
      <c r="G191" s="78">
        <v>18232.55</v>
      </c>
      <c r="H191" s="27">
        <f t="shared" si="5"/>
        <v>1.9288416783669439E-3</v>
      </c>
    </row>
    <row r="192" spans="2:8" x14ac:dyDescent="0.3">
      <c r="B192" s="132">
        <v>44930</v>
      </c>
      <c r="C192" s="78">
        <v>2526.04</v>
      </c>
      <c r="D192" s="27">
        <f t="shared" si="4"/>
        <v>-2.342049866309568E-3</v>
      </c>
      <c r="F192" s="77">
        <v>44930</v>
      </c>
      <c r="G192" s="78">
        <v>18042.95</v>
      </c>
      <c r="H192" s="27">
        <f t="shared" si="5"/>
        <v>-1.0398984234240332E-2</v>
      </c>
    </row>
    <row r="193" spans="2:8" x14ac:dyDescent="0.3">
      <c r="B193" s="132">
        <v>44931</v>
      </c>
      <c r="C193" s="78">
        <v>2573.4499999999998</v>
      </c>
      <c r="D193" s="27">
        <f t="shared" si="4"/>
        <v>1.8768507228705742E-2</v>
      </c>
      <c r="F193" s="77">
        <v>44931</v>
      </c>
      <c r="G193" s="78">
        <v>17992.150000000001</v>
      </c>
      <c r="H193" s="27">
        <f t="shared" si="5"/>
        <v>-2.8155041165662639E-3</v>
      </c>
    </row>
    <row r="194" spans="2:8" x14ac:dyDescent="0.3">
      <c r="B194" s="132">
        <v>44932</v>
      </c>
      <c r="C194" s="78">
        <v>2566.23</v>
      </c>
      <c r="D194" s="27">
        <f t="shared" si="4"/>
        <v>-2.8055722862304691E-3</v>
      </c>
      <c r="F194" s="77">
        <v>44932</v>
      </c>
      <c r="G194" s="78">
        <v>17859.45</v>
      </c>
      <c r="H194" s="27">
        <f t="shared" si="5"/>
        <v>-7.3754387330030443E-3</v>
      </c>
    </row>
    <row r="195" spans="2:8" x14ac:dyDescent="0.3">
      <c r="B195" s="132">
        <v>44935</v>
      </c>
      <c r="C195" s="78">
        <v>2613.64</v>
      </c>
      <c r="D195" s="27">
        <f t="shared" si="4"/>
        <v>1.8474571647903677E-2</v>
      </c>
      <c r="F195" s="77">
        <v>44935</v>
      </c>
      <c r="G195" s="78">
        <v>18101.2</v>
      </c>
      <c r="H195" s="27">
        <f t="shared" si="5"/>
        <v>1.3536251116355766E-2</v>
      </c>
    </row>
    <row r="196" spans="2:8" x14ac:dyDescent="0.3">
      <c r="B196" s="132">
        <v>44936</v>
      </c>
      <c r="C196" s="78">
        <v>2633.36</v>
      </c>
      <c r="D196" s="27">
        <f t="shared" si="4"/>
        <v>7.5450329808237765E-3</v>
      </c>
      <c r="F196" s="77">
        <v>44936</v>
      </c>
      <c r="G196" s="78">
        <v>17914.150000000001</v>
      </c>
      <c r="H196" s="27">
        <f t="shared" si="5"/>
        <v>-1.0333569045146138E-2</v>
      </c>
    </row>
    <row r="197" spans="2:8" x14ac:dyDescent="0.3">
      <c r="B197" s="132">
        <v>44937</v>
      </c>
      <c r="C197" s="78">
        <v>2582.9699999999998</v>
      </c>
      <c r="D197" s="27">
        <f t="shared" ref="D197:D260" si="6">(C197-C196)/C196</f>
        <v>-1.9135249263298723E-2</v>
      </c>
      <c r="F197" s="77">
        <v>44937</v>
      </c>
      <c r="G197" s="78">
        <v>17895.7</v>
      </c>
      <c r="H197" s="27">
        <f t="shared" ref="H197:H260" si="7">(G197-G196)/G196</f>
        <v>-1.0299121085845951E-3</v>
      </c>
    </row>
    <row r="198" spans="2:8" x14ac:dyDescent="0.3">
      <c r="B198" s="132">
        <v>44938</v>
      </c>
      <c r="C198" s="78">
        <v>2579.7800000000002</v>
      </c>
      <c r="D198" s="27">
        <f t="shared" si="6"/>
        <v>-1.2350124081966108E-3</v>
      </c>
      <c r="F198" s="77">
        <v>44938</v>
      </c>
      <c r="G198" s="78">
        <v>17858.2</v>
      </c>
      <c r="H198" s="27">
        <f t="shared" si="7"/>
        <v>-2.0954754494096348E-3</v>
      </c>
    </row>
    <row r="199" spans="2:8" x14ac:dyDescent="0.3">
      <c r="B199" s="132">
        <v>44939</v>
      </c>
      <c r="C199" s="78">
        <v>2613.59</v>
      </c>
      <c r="D199" s="27">
        <f t="shared" si="6"/>
        <v>1.3105768708959657E-2</v>
      </c>
      <c r="F199" s="77">
        <v>44939</v>
      </c>
      <c r="G199" s="78">
        <v>17956.599999999999</v>
      </c>
      <c r="H199" s="27">
        <f t="shared" si="7"/>
        <v>5.5100738036307027E-3</v>
      </c>
    </row>
    <row r="200" spans="2:8" x14ac:dyDescent="0.3">
      <c r="B200" s="132">
        <v>44942</v>
      </c>
      <c r="C200" s="78">
        <v>2586.8000000000002</v>
      </c>
      <c r="D200" s="27">
        <f t="shared" si="6"/>
        <v>-1.0250268787376735E-2</v>
      </c>
      <c r="F200" s="77">
        <v>44942</v>
      </c>
      <c r="G200" s="78">
        <v>17894.849999999999</v>
      </c>
      <c r="H200" s="27">
        <f t="shared" si="7"/>
        <v>-3.4388469977612692E-3</v>
      </c>
    </row>
    <row r="201" spans="2:8" x14ac:dyDescent="0.3">
      <c r="B201" s="132">
        <v>44943</v>
      </c>
      <c r="C201" s="78">
        <v>2656.97</v>
      </c>
      <c r="D201" s="27">
        <f t="shared" si="6"/>
        <v>2.7126179062934751E-2</v>
      </c>
      <c r="F201" s="77">
        <v>44943</v>
      </c>
      <c r="G201" s="78">
        <v>18053.3</v>
      </c>
      <c r="H201" s="27">
        <f t="shared" si="7"/>
        <v>8.8545028318203697E-3</v>
      </c>
    </row>
    <row r="202" spans="2:8" x14ac:dyDescent="0.3">
      <c r="B202" s="132">
        <v>44944</v>
      </c>
      <c r="C202" s="78">
        <v>2675.55</v>
      </c>
      <c r="D202" s="27">
        <f t="shared" si="6"/>
        <v>6.9929280345658335E-3</v>
      </c>
      <c r="F202" s="77">
        <v>44944</v>
      </c>
      <c r="G202" s="78">
        <v>18165.349999999999</v>
      </c>
      <c r="H202" s="27">
        <f t="shared" si="7"/>
        <v>6.2066215041017029E-3</v>
      </c>
    </row>
    <row r="203" spans="2:8" x14ac:dyDescent="0.3">
      <c r="B203" s="132">
        <v>44945</v>
      </c>
      <c r="C203" s="78">
        <v>2639.24</v>
      </c>
      <c r="D203" s="27">
        <f t="shared" si="6"/>
        <v>-1.357104146810951E-2</v>
      </c>
      <c r="F203" s="77">
        <v>44945</v>
      </c>
      <c r="G203" s="78">
        <v>18107.849999999999</v>
      </c>
      <c r="H203" s="27">
        <f t="shared" si="7"/>
        <v>-3.1653670311884994E-3</v>
      </c>
    </row>
    <row r="204" spans="2:8" x14ac:dyDescent="0.3">
      <c r="B204" s="132">
        <v>44946</v>
      </c>
      <c r="C204" s="78">
        <v>2538.64</v>
      </c>
      <c r="D204" s="27">
        <f t="shared" si="6"/>
        <v>-3.8117033691517227E-2</v>
      </c>
      <c r="F204" s="77">
        <v>44946</v>
      </c>
      <c r="G204" s="78">
        <v>18027.650000000001</v>
      </c>
      <c r="H204" s="27">
        <f t="shared" si="7"/>
        <v>-4.4290183539181681E-3</v>
      </c>
    </row>
    <row r="205" spans="2:8" x14ac:dyDescent="0.3">
      <c r="B205" s="132">
        <v>44949</v>
      </c>
      <c r="C205" s="78">
        <v>2586.1</v>
      </c>
      <c r="D205" s="27">
        <f t="shared" si="6"/>
        <v>1.869504931774495E-2</v>
      </c>
      <c r="F205" s="77">
        <v>44949</v>
      </c>
      <c r="G205" s="78">
        <v>18118.55</v>
      </c>
      <c r="H205" s="27">
        <f t="shared" si="7"/>
        <v>5.0422545367808788E-3</v>
      </c>
    </row>
    <row r="206" spans="2:8" x14ac:dyDescent="0.3">
      <c r="B206" s="132">
        <v>44950</v>
      </c>
      <c r="C206" s="78">
        <v>2590.19</v>
      </c>
      <c r="D206" s="27">
        <f t="shared" si="6"/>
        <v>1.5815320366575716E-3</v>
      </c>
      <c r="F206" s="77">
        <v>44950</v>
      </c>
      <c r="G206" s="78">
        <v>18118.3</v>
      </c>
      <c r="H206" s="27">
        <f t="shared" si="7"/>
        <v>-1.3798013637956681E-5</v>
      </c>
    </row>
    <row r="207" spans="2:8" x14ac:dyDescent="0.3">
      <c r="B207" s="132">
        <v>44951</v>
      </c>
      <c r="C207" s="78">
        <v>2611.9499999999998</v>
      </c>
      <c r="D207" s="27">
        <f t="shared" si="6"/>
        <v>8.4009281172422734E-3</v>
      </c>
      <c r="F207" s="77">
        <v>44951</v>
      </c>
      <c r="G207" s="78">
        <v>17891.95</v>
      </c>
      <c r="H207" s="27">
        <f t="shared" si="7"/>
        <v>-1.2492893924926652E-2</v>
      </c>
    </row>
    <row r="208" spans="2:8" x14ac:dyDescent="0.3">
      <c r="B208" s="132">
        <v>44953</v>
      </c>
      <c r="C208" s="78">
        <v>2601.79</v>
      </c>
      <c r="D208" s="27">
        <f t="shared" si="6"/>
        <v>-3.8898141235474857E-3</v>
      </c>
      <c r="F208" s="77">
        <v>44953</v>
      </c>
      <c r="G208" s="78">
        <v>17604.349999999999</v>
      </c>
      <c r="H208" s="27">
        <f t="shared" si="7"/>
        <v>-1.6074268036742903E-2</v>
      </c>
    </row>
    <row r="209" spans="2:8" x14ac:dyDescent="0.3">
      <c r="B209" s="132">
        <v>44956</v>
      </c>
      <c r="C209" s="78">
        <v>2557.9699999999998</v>
      </c>
      <c r="D209" s="27">
        <f t="shared" si="6"/>
        <v>-1.6842250911872275E-2</v>
      </c>
      <c r="F209" s="77">
        <v>44956</v>
      </c>
      <c r="G209" s="78">
        <v>17648.95</v>
      </c>
      <c r="H209" s="27">
        <f t="shared" si="7"/>
        <v>2.5334647402489832E-3</v>
      </c>
    </row>
    <row r="210" spans="2:8" x14ac:dyDescent="0.3">
      <c r="B210" s="132">
        <v>44957</v>
      </c>
      <c r="C210" s="78">
        <v>2566.5300000000002</v>
      </c>
      <c r="D210" s="27">
        <f t="shared" si="6"/>
        <v>3.3464035934746695E-3</v>
      </c>
      <c r="F210" s="77">
        <v>44957</v>
      </c>
      <c r="G210" s="78">
        <v>17662.150000000001</v>
      </c>
      <c r="H210" s="27">
        <f t="shared" si="7"/>
        <v>7.4791984792300546E-4</v>
      </c>
    </row>
    <row r="211" spans="2:8" x14ac:dyDescent="0.3">
      <c r="B211" s="132">
        <v>44958</v>
      </c>
      <c r="C211" s="78">
        <v>2564.04</v>
      </c>
      <c r="D211" s="27">
        <f t="shared" si="6"/>
        <v>-9.7018152914644918E-4</v>
      </c>
      <c r="F211" s="77">
        <v>44958</v>
      </c>
      <c r="G211" s="78">
        <v>17616.3</v>
      </c>
      <c r="H211" s="27">
        <f t="shared" si="7"/>
        <v>-2.595946699580865E-3</v>
      </c>
    </row>
    <row r="212" spans="2:8" x14ac:dyDescent="0.3">
      <c r="B212" s="132">
        <v>44959</v>
      </c>
      <c r="C212" s="78">
        <v>2624.4</v>
      </c>
      <c r="D212" s="27">
        <f t="shared" si="6"/>
        <v>2.3540974399775403E-2</v>
      </c>
      <c r="F212" s="77">
        <v>44959</v>
      </c>
      <c r="G212" s="78">
        <v>17610.400000000001</v>
      </c>
      <c r="H212" s="27">
        <f t="shared" si="7"/>
        <v>-3.349170938277514E-4</v>
      </c>
    </row>
    <row r="213" spans="2:8" x14ac:dyDescent="0.3">
      <c r="B213" s="132">
        <v>44960</v>
      </c>
      <c r="C213" s="78">
        <v>2638.25</v>
      </c>
      <c r="D213" s="27">
        <f t="shared" si="6"/>
        <v>5.2773967383020533E-3</v>
      </c>
      <c r="F213" s="77">
        <v>44960</v>
      </c>
      <c r="G213" s="78">
        <v>17854.05</v>
      </c>
      <c r="H213" s="27">
        <f t="shared" si="7"/>
        <v>1.3835574433289295E-2</v>
      </c>
    </row>
    <row r="214" spans="2:8" x14ac:dyDescent="0.3">
      <c r="B214" s="132">
        <v>44963</v>
      </c>
      <c r="C214" s="78">
        <v>2627.14</v>
      </c>
      <c r="D214" s="27">
        <f t="shared" si="6"/>
        <v>-4.2111247986355077E-3</v>
      </c>
      <c r="F214" s="77">
        <v>44963</v>
      </c>
      <c r="G214" s="78">
        <v>17764.599999999999</v>
      </c>
      <c r="H214" s="27">
        <f t="shared" si="7"/>
        <v>-5.0100677437332555E-3</v>
      </c>
    </row>
    <row r="215" spans="2:8" x14ac:dyDescent="0.3">
      <c r="B215" s="132">
        <v>44964</v>
      </c>
      <c r="C215" s="78">
        <v>2590.88</v>
      </c>
      <c r="D215" s="27">
        <f t="shared" si="6"/>
        <v>-1.3802081350822478E-2</v>
      </c>
      <c r="F215" s="77">
        <v>44964</v>
      </c>
      <c r="G215" s="78">
        <v>17721.5</v>
      </c>
      <c r="H215" s="27">
        <f t="shared" si="7"/>
        <v>-2.4261734010334345E-3</v>
      </c>
    </row>
    <row r="216" spans="2:8" x14ac:dyDescent="0.3">
      <c r="B216" s="132">
        <v>44965</v>
      </c>
      <c r="C216" s="78">
        <v>2572.56</v>
      </c>
      <c r="D216" s="27">
        <f t="shared" si="6"/>
        <v>-7.0709565861792759E-3</v>
      </c>
      <c r="F216" s="77">
        <v>44965</v>
      </c>
      <c r="G216" s="78">
        <v>17871.7</v>
      </c>
      <c r="H216" s="27">
        <f t="shared" si="7"/>
        <v>8.4755805095505874E-3</v>
      </c>
    </row>
    <row r="217" spans="2:8" x14ac:dyDescent="0.3">
      <c r="B217" s="132">
        <v>44966</v>
      </c>
      <c r="C217" s="78">
        <v>2576.44</v>
      </c>
      <c r="D217" s="27">
        <f t="shared" si="6"/>
        <v>1.5082252697702324E-3</v>
      </c>
      <c r="F217" s="77">
        <v>44966</v>
      </c>
      <c r="G217" s="78">
        <v>17893.45</v>
      </c>
      <c r="H217" s="27">
        <f t="shared" si="7"/>
        <v>1.2170078951638623E-3</v>
      </c>
    </row>
    <row r="218" spans="2:8" x14ac:dyDescent="0.3">
      <c r="B218" s="132">
        <v>44967</v>
      </c>
      <c r="C218" s="78">
        <v>2567.2800000000002</v>
      </c>
      <c r="D218" s="27">
        <f t="shared" si="6"/>
        <v>-3.5552933505146071E-3</v>
      </c>
      <c r="F218" s="77">
        <v>44967</v>
      </c>
      <c r="G218" s="78">
        <v>17856.5</v>
      </c>
      <c r="H218" s="27">
        <f t="shared" si="7"/>
        <v>-2.0650014390741151E-3</v>
      </c>
    </row>
    <row r="219" spans="2:8" x14ac:dyDescent="0.3">
      <c r="B219" s="132">
        <v>44970</v>
      </c>
      <c r="C219" s="78">
        <v>2570.7600000000002</v>
      </c>
      <c r="D219" s="27">
        <f t="shared" si="6"/>
        <v>1.3555202393194423E-3</v>
      </c>
      <c r="F219" s="77">
        <v>44970</v>
      </c>
      <c r="G219" s="78">
        <v>17770.900000000001</v>
      </c>
      <c r="H219" s="27">
        <f t="shared" si="7"/>
        <v>-4.7937725758126475E-3</v>
      </c>
    </row>
    <row r="220" spans="2:8" x14ac:dyDescent="0.3">
      <c r="B220" s="132">
        <v>44971</v>
      </c>
      <c r="C220" s="78">
        <v>2569.37</v>
      </c>
      <c r="D220" s="27">
        <f t="shared" si="6"/>
        <v>-5.4069613655118617E-4</v>
      </c>
      <c r="F220" s="77">
        <v>44971</v>
      </c>
      <c r="G220" s="78">
        <v>17929.849999999999</v>
      </c>
      <c r="H220" s="27">
        <f t="shared" si="7"/>
        <v>8.9443978639234412E-3</v>
      </c>
    </row>
    <row r="221" spans="2:8" x14ac:dyDescent="0.3">
      <c r="B221" s="132">
        <v>44972</v>
      </c>
      <c r="C221" s="78">
        <v>2538.34</v>
      </c>
      <c r="D221" s="27">
        <f t="shared" si="6"/>
        <v>-1.2076890443960873E-2</v>
      </c>
      <c r="F221" s="77">
        <v>44972</v>
      </c>
      <c r="G221" s="78">
        <v>18015.849999999999</v>
      </c>
      <c r="H221" s="27">
        <f t="shared" si="7"/>
        <v>4.7964706899388454E-3</v>
      </c>
    </row>
    <row r="222" spans="2:8" x14ac:dyDescent="0.3">
      <c r="B222" s="132">
        <v>44973</v>
      </c>
      <c r="C222" s="78">
        <v>2517.08</v>
      </c>
      <c r="D222" s="27">
        <f t="shared" si="6"/>
        <v>-8.3755525264543832E-3</v>
      </c>
      <c r="F222" s="77">
        <v>44973</v>
      </c>
      <c r="G222" s="78">
        <v>18035.849999999999</v>
      </c>
      <c r="H222" s="27">
        <f t="shared" si="7"/>
        <v>1.1101335768226312E-3</v>
      </c>
    </row>
    <row r="223" spans="2:8" x14ac:dyDescent="0.3">
      <c r="B223" s="132">
        <v>44974</v>
      </c>
      <c r="C223" s="78">
        <v>2505.52</v>
      </c>
      <c r="D223" s="27">
        <f t="shared" si="6"/>
        <v>-4.5926231983091301E-3</v>
      </c>
      <c r="F223" s="77">
        <v>44974</v>
      </c>
      <c r="G223" s="78">
        <v>17944.2</v>
      </c>
      <c r="H223" s="27">
        <f t="shared" si="7"/>
        <v>-5.0815459210404737E-3</v>
      </c>
    </row>
    <row r="224" spans="2:8" x14ac:dyDescent="0.3">
      <c r="B224" s="132">
        <v>44977</v>
      </c>
      <c r="C224" s="78">
        <v>2501.4899999999998</v>
      </c>
      <c r="D224" s="27">
        <f t="shared" si="6"/>
        <v>-1.6084485456113701E-3</v>
      </c>
      <c r="F224" s="77">
        <v>44977</v>
      </c>
      <c r="G224" s="78">
        <v>17844.599999999999</v>
      </c>
      <c r="H224" s="27">
        <f t="shared" si="7"/>
        <v>-5.5505400073562585E-3</v>
      </c>
    </row>
    <row r="225" spans="2:8" x14ac:dyDescent="0.3">
      <c r="B225" s="132">
        <v>44978</v>
      </c>
      <c r="C225" s="78">
        <v>2506.17</v>
      </c>
      <c r="D225" s="27">
        <f t="shared" si="6"/>
        <v>1.8708849525683859E-3</v>
      </c>
      <c r="F225" s="77">
        <v>44978</v>
      </c>
      <c r="G225" s="78">
        <v>17826.7</v>
      </c>
      <c r="H225" s="27">
        <f t="shared" si="7"/>
        <v>-1.0031045806573316E-3</v>
      </c>
    </row>
    <row r="226" spans="2:8" x14ac:dyDescent="0.3">
      <c r="B226" s="132">
        <v>44979</v>
      </c>
      <c r="C226" s="78">
        <v>2484.16</v>
      </c>
      <c r="D226" s="27">
        <f t="shared" si="6"/>
        <v>-8.7823252213537865E-3</v>
      </c>
      <c r="F226" s="77">
        <v>44979</v>
      </c>
      <c r="G226" s="78">
        <v>17554.3</v>
      </c>
      <c r="H226" s="27">
        <f t="shared" si="7"/>
        <v>-1.5280450111349909E-2</v>
      </c>
    </row>
    <row r="227" spans="2:8" x14ac:dyDescent="0.3">
      <c r="B227" s="132">
        <v>44980</v>
      </c>
      <c r="C227" s="78">
        <v>2480.77</v>
      </c>
      <c r="D227" s="27">
        <f t="shared" si="6"/>
        <v>-1.364646399587737E-3</v>
      </c>
      <c r="F227" s="77">
        <v>44980</v>
      </c>
      <c r="G227" s="78">
        <v>17511.25</v>
      </c>
      <c r="H227" s="27">
        <f t="shared" si="7"/>
        <v>-2.4523905823643937E-3</v>
      </c>
    </row>
    <row r="228" spans="2:8" x14ac:dyDescent="0.3">
      <c r="B228" s="132">
        <v>44981</v>
      </c>
      <c r="C228" s="78">
        <v>2474.35</v>
      </c>
      <c r="D228" s="27">
        <f t="shared" si="6"/>
        <v>-2.5879061742926884E-3</v>
      </c>
      <c r="F228" s="77">
        <v>44981</v>
      </c>
      <c r="G228" s="78">
        <v>17465.8</v>
      </c>
      <c r="H228" s="27">
        <f t="shared" si="7"/>
        <v>-2.5954743379256609E-3</v>
      </c>
    </row>
    <row r="229" spans="2:8" x14ac:dyDescent="0.3">
      <c r="B229" s="132">
        <v>44984</v>
      </c>
      <c r="C229" s="78">
        <v>2458.36</v>
      </c>
      <c r="D229" s="27">
        <f t="shared" si="6"/>
        <v>-6.4623032311515276E-3</v>
      </c>
      <c r="F229" s="77">
        <v>44984</v>
      </c>
      <c r="G229" s="78">
        <v>17392.7</v>
      </c>
      <c r="H229" s="27">
        <f t="shared" si="7"/>
        <v>-4.1853221724741235E-3</v>
      </c>
    </row>
    <row r="230" spans="2:8" x14ac:dyDescent="0.3">
      <c r="B230" s="132">
        <v>44985</v>
      </c>
      <c r="C230" s="78">
        <v>2450.89</v>
      </c>
      <c r="D230" s="27">
        <f t="shared" si="6"/>
        <v>-3.0386111065914896E-3</v>
      </c>
      <c r="F230" s="77">
        <v>44985</v>
      </c>
      <c r="G230" s="78">
        <v>17303.95</v>
      </c>
      <c r="H230" s="27">
        <f t="shared" si="7"/>
        <v>-5.1027155070805562E-3</v>
      </c>
    </row>
    <row r="231" spans="2:8" x14ac:dyDescent="0.3">
      <c r="B231" s="132">
        <v>44986</v>
      </c>
      <c r="C231" s="78">
        <v>2456.4699999999998</v>
      </c>
      <c r="D231" s="27">
        <f t="shared" si="6"/>
        <v>2.276723965579821E-3</v>
      </c>
      <c r="F231" s="77">
        <v>44986</v>
      </c>
      <c r="G231" s="78">
        <v>17450.900000000001</v>
      </c>
      <c r="H231" s="27">
        <f t="shared" si="7"/>
        <v>8.4922806642414427E-3</v>
      </c>
    </row>
    <row r="232" spans="2:8" x14ac:dyDescent="0.3">
      <c r="B232" s="132">
        <v>44987</v>
      </c>
      <c r="C232" s="78">
        <v>2445.61</v>
      </c>
      <c r="D232" s="27">
        <f t="shared" si="6"/>
        <v>-4.4209780701574509E-3</v>
      </c>
      <c r="F232" s="77">
        <v>44987</v>
      </c>
      <c r="G232" s="78">
        <v>17321.900000000001</v>
      </c>
      <c r="H232" s="27">
        <f t="shared" si="7"/>
        <v>-7.392168885272392E-3</v>
      </c>
    </row>
    <row r="233" spans="2:8" x14ac:dyDescent="0.3">
      <c r="B233" s="132">
        <v>44988</v>
      </c>
      <c r="C233" s="78">
        <v>2461.1999999999998</v>
      </c>
      <c r="D233" s="27">
        <f t="shared" si="6"/>
        <v>6.3746877057256433E-3</v>
      </c>
      <c r="F233" s="77">
        <v>44988</v>
      </c>
      <c r="G233" s="78">
        <v>17594.349999999999</v>
      </c>
      <c r="H233" s="27">
        <f t="shared" si="7"/>
        <v>1.5728644086387581E-2</v>
      </c>
    </row>
    <row r="234" spans="2:8" x14ac:dyDescent="0.3">
      <c r="B234" s="132">
        <v>44991</v>
      </c>
      <c r="C234" s="78">
        <v>2475</v>
      </c>
      <c r="D234" s="27">
        <f t="shared" si="6"/>
        <v>5.6070209653828144E-3</v>
      </c>
      <c r="F234" s="77">
        <v>44991</v>
      </c>
      <c r="G234" s="78">
        <v>17711.45</v>
      </c>
      <c r="H234" s="27">
        <f t="shared" si="7"/>
        <v>6.6555456723324359E-3</v>
      </c>
    </row>
    <row r="235" spans="2:8" x14ac:dyDescent="0.3">
      <c r="B235" s="132">
        <v>44993</v>
      </c>
      <c r="C235" s="78">
        <v>2475.2399999999998</v>
      </c>
      <c r="D235" s="27">
        <f t="shared" si="6"/>
        <v>9.6969696969608776E-5</v>
      </c>
      <c r="F235" s="77">
        <v>44993</v>
      </c>
      <c r="G235" s="78">
        <v>17754.400000000001</v>
      </c>
      <c r="H235" s="27">
        <f t="shared" si="7"/>
        <v>2.4249849673516695E-3</v>
      </c>
    </row>
    <row r="236" spans="2:8" x14ac:dyDescent="0.3">
      <c r="B236" s="132">
        <v>44994</v>
      </c>
      <c r="C236" s="78">
        <v>2451.64</v>
      </c>
      <c r="D236" s="27">
        <f t="shared" si="6"/>
        <v>-9.534428984664077E-3</v>
      </c>
      <c r="F236" s="77">
        <v>44994</v>
      </c>
      <c r="G236" s="78">
        <v>17589.599999999999</v>
      </c>
      <c r="H236" s="27">
        <f t="shared" si="7"/>
        <v>-9.2822061010230088E-3</v>
      </c>
    </row>
    <row r="237" spans="2:8" x14ac:dyDescent="0.3">
      <c r="B237" s="132">
        <v>44995</v>
      </c>
      <c r="C237" s="78">
        <v>2455.67</v>
      </c>
      <c r="D237" s="27">
        <f t="shared" si="6"/>
        <v>1.6437976211842685E-3</v>
      </c>
      <c r="F237" s="77">
        <v>44995</v>
      </c>
      <c r="G237" s="78">
        <v>17412.900000000001</v>
      </c>
      <c r="H237" s="27">
        <f t="shared" si="7"/>
        <v>-1.004570882794362E-2</v>
      </c>
    </row>
    <row r="238" spans="2:8" x14ac:dyDescent="0.3">
      <c r="B238" s="132">
        <v>44998</v>
      </c>
      <c r="C238" s="78">
        <v>2445.36</v>
      </c>
      <c r="D238" s="27">
        <f t="shared" si="6"/>
        <v>-4.1984468597164705E-3</v>
      </c>
      <c r="F238" s="77">
        <v>44998</v>
      </c>
      <c r="G238" s="78">
        <v>17154.3</v>
      </c>
      <c r="H238" s="27">
        <f t="shared" si="7"/>
        <v>-1.4851058697862055E-2</v>
      </c>
    </row>
    <row r="239" spans="2:8" x14ac:dyDescent="0.3">
      <c r="B239" s="132">
        <v>44999</v>
      </c>
      <c r="C239" s="78">
        <v>2432.7600000000002</v>
      </c>
      <c r="D239" s="27">
        <f t="shared" si="6"/>
        <v>-5.1526155658062241E-3</v>
      </c>
      <c r="F239" s="77">
        <v>44999</v>
      </c>
      <c r="G239" s="78">
        <v>17043.3</v>
      </c>
      <c r="H239" s="27">
        <f t="shared" si="7"/>
        <v>-6.4706808205522819E-3</v>
      </c>
    </row>
    <row r="240" spans="2:8" x14ac:dyDescent="0.3">
      <c r="B240" s="132">
        <v>45000</v>
      </c>
      <c r="C240" s="78">
        <v>2396.56</v>
      </c>
      <c r="D240" s="27">
        <f t="shared" si="6"/>
        <v>-1.4880218352817488E-2</v>
      </c>
      <c r="F240" s="77">
        <v>45000</v>
      </c>
      <c r="G240" s="78">
        <v>16972.150000000001</v>
      </c>
      <c r="H240" s="27">
        <f t="shared" si="7"/>
        <v>-4.1746610104849311E-3</v>
      </c>
    </row>
    <row r="241" spans="2:8" x14ac:dyDescent="0.3">
      <c r="B241" s="132">
        <v>45001</v>
      </c>
      <c r="C241" s="78">
        <v>2449.6</v>
      </c>
      <c r="D241" s="27">
        <f t="shared" si="6"/>
        <v>2.2131722135060237E-2</v>
      </c>
      <c r="F241" s="77">
        <v>45001</v>
      </c>
      <c r="G241" s="78">
        <v>16985.599999999999</v>
      </c>
      <c r="H241" s="27">
        <f t="shared" si="7"/>
        <v>7.9247473066153013E-4</v>
      </c>
    </row>
    <row r="242" spans="2:8" x14ac:dyDescent="0.3">
      <c r="B242" s="132">
        <v>45002</v>
      </c>
      <c r="C242" s="78">
        <v>2437.69</v>
      </c>
      <c r="D242" s="27">
        <f t="shared" si="6"/>
        <v>-4.8620182887001368E-3</v>
      </c>
      <c r="F242" s="77">
        <v>45002</v>
      </c>
      <c r="G242" s="78">
        <v>17100.05</v>
      </c>
      <c r="H242" s="27">
        <f t="shared" si="7"/>
        <v>6.7380604747551299E-3</v>
      </c>
    </row>
    <row r="243" spans="2:8" x14ac:dyDescent="0.3">
      <c r="B243" s="132">
        <v>45005</v>
      </c>
      <c r="C243" s="78">
        <v>2501.2399999999998</v>
      </c>
      <c r="D243" s="27">
        <f t="shared" si="6"/>
        <v>2.6069762767209827E-2</v>
      </c>
      <c r="F243" s="77">
        <v>45005</v>
      </c>
      <c r="G243" s="78">
        <v>16988.400000000001</v>
      </c>
      <c r="H243" s="27">
        <f t="shared" si="7"/>
        <v>-6.5292206747932209E-3</v>
      </c>
    </row>
    <row r="244" spans="2:8" x14ac:dyDescent="0.3">
      <c r="B244" s="132">
        <v>45006</v>
      </c>
      <c r="C244" s="78">
        <v>2452.83</v>
      </c>
      <c r="D244" s="27">
        <f t="shared" si="6"/>
        <v>-1.9354400217492067E-2</v>
      </c>
      <c r="F244" s="77">
        <v>45006</v>
      </c>
      <c r="G244" s="78">
        <v>17107.5</v>
      </c>
      <c r="H244" s="27">
        <f t="shared" si="7"/>
        <v>7.0106661015751064E-3</v>
      </c>
    </row>
    <row r="245" spans="2:8" x14ac:dyDescent="0.3">
      <c r="B245" s="132">
        <v>45007</v>
      </c>
      <c r="C245" s="78">
        <v>2466.5300000000002</v>
      </c>
      <c r="D245" s="27">
        <f t="shared" si="6"/>
        <v>5.5853850450297299E-3</v>
      </c>
      <c r="F245" s="77">
        <v>45007</v>
      </c>
      <c r="G245" s="78">
        <v>17151.900000000001</v>
      </c>
      <c r="H245" s="27">
        <f t="shared" si="7"/>
        <v>2.5953529153880726E-3</v>
      </c>
    </row>
    <row r="246" spans="2:8" x14ac:dyDescent="0.3">
      <c r="B246" s="132">
        <v>45008</v>
      </c>
      <c r="C246" s="78">
        <v>2475.2399999999998</v>
      </c>
      <c r="D246" s="27">
        <f t="shared" si="6"/>
        <v>3.531276732899896E-3</v>
      </c>
      <c r="F246" s="77">
        <v>45008</v>
      </c>
      <c r="G246" s="78">
        <v>17076.900000000001</v>
      </c>
      <c r="H246" s="27">
        <f t="shared" si="7"/>
        <v>-4.3726934042292685E-3</v>
      </c>
    </row>
    <row r="247" spans="2:8" x14ac:dyDescent="0.3">
      <c r="B247" s="132">
        <v>45009</v>
      </c>
      <c r="C247" s="78">
        <v>2470.96</v>
      </c>
      <c r="D247" s="27">
        <f t="shared" si="6"/>
        <v>-1.7291252565406771E-3</v>
      </c>
      <c r="F247" s="77">
        <v>45009</v>
      </c>
      <c r="G247" s="78">
        <v>16945.05</v>
      </c>
      <c r="H247" s="27">
        <f t="shared" si="7"/>
        <v>-7.7209563796709103E-3</v>
      </c>
    </row>
    <row r="248" spans="2:8" x14ac:dyDescent="0.3">
      <c r="B248" s="132">
        <v>45012</v>
      </c>
      <c r="C248" s="78">
        <v>2489.09</v>
      </c>
      <c r="D248" s="27">
        <f t="shared" si="6"/>
        <v>7.3372292550264303E-3</v>
      </c>
      <c r="F248" s="77">
        <v>45012</v>
      </c>
      <c r="G248" s="78">
        <v>16985.7</v>
      </c>
      <c r="H248" s="27">
        <f t="shared" si="7"/>
        <v>2.3989306611666215E-3</v>
      </c>
    </row>
    <row r="249" spans="2:8" x14ac:dyDescent="0.3">
      <c r="B249" s="132">
        <v>45013</v>
      </c>
      <c r="C249" s="78">
        <v>2472.9499999999998</v>
      </c>
      <c r="D249" s="27">
        <f t="shared" si="6"/>
        <v>-6.4842974741774412E-3</v>
      </c>
      <c r="F249" s="77">
        <v>45013</v>
      </c>
      <c r="G249" s="78">
        <v>16951.7</v>
      </c>
      <c r="H249" s="27">
        <f t="shared" si="7"/>
        <v>-2.0016837692882834E-3</v>
      </c>
    </row>
    <row r="250" spans="2:8" x14ac:dyDescent="0.3">
      <c r="B250" s="132">
        <v>45014</v>
      </c>
      <c r="C250" s="78">
        <v>2520.81</v>
      </c>
      <c r="D250" s="27">
        <f t="shared" si="6"/>
        <v>1.9353403829434533E-2</v>
      </c>
      <c r="F250" s="77">
        <v>45014</v>
      </c>
      <c r="G250" s="78">
        <v>17080.7</v>
      </c>
      <c r="H250" s="27">
        <f t="shared" si="7"/>
        <v>7.6098562386073369E-3</v>
      </c>
    </row>
    <row r="251" spans="2:8" x14ac:dyDescent="0.3">
      <c r="B251" s="132">
        <v>45016</v>
      </c>
      <c r="C251" s="78">
        <v>2550.1999999999998</v>
      </c>
      <c r="D251" s="27">
        <f t="shared" si="6"/>
        <v>1.1658950892768544E-2</v>
      </c>
      <c r="F251" s="77">
        <v>45016</v>
      </c>
      <c r="G251" s="78">
        <v>17359.75</v>
      </c>
      <c r="H251" s="27">
        <f t="shared" si="7"/>
        <v>1.6337152458622845E-2</v>
      </c>
    </row>
    <row r="252" spans="2:8" x14ac:dyDescent="0.3">
      <c r="B252" s="132">
        <v>45019</v>
      </c>
      <c r="C252" s="78">
        <v>2526.04</v>
      </c>
      <c r="D252" s="27">
        <f t="shared" si="6"/>
        <v>-9.4737667633910498E-3</v>
      </c>
      <c r="F252" s="77">
        <v>45019</v>
      </c>
      <c r="G252" s="78">
        <v>17398.05</v>
      </c>
      <c r="H252" s="27">
        <f t="shared" si="7"/>
        <v>2.2062529702328243E-3</v>
      </c>
    </row>
    <row r="253" spans="2:8" x14ac:dyDescent="0.3">
      <c r="B253" s="132">
        <v>45021</v>
      </c>
      <c r="C253" s="78">
        <v>2572.5100000000002</v>
      </c>
      <c r="D253" s="27">
        <f t="shared" si="6"/>
        <v>1.8396383271840611E-2</v>
      </c>
      <c r="F253" s="77">
        <v>45021</v>
      </c>
      <c r="G253" s="78">
        <v>17557.05</v>
      </c>
      <c r="H253" s="27">
        <f t="shared" si="7"/>
        <v>9.1389552277410403E-3</v>
      </c>
    </row>
    <row r="254" spans="2:8" x14ac:dyDescent="0.3">
      <c r="B254" s="132">
        <v>45022</v>
      </c>
      <c r="C254" s="78">
        <v>2555.08</v>
      </c>
      <c r="D254" s="27">
        <f t="shared" si="6"/>
        <v>-6.7754838659520424E-3</v>
      </c>
      <c r="F254" s="77">
        <v>45022</v>
      </c>
      <c r="G254" s="78">
        <v>17599.150000000001</v>
      </c>
      <c r="H254" s="27">
        <f t="shared" si="7"/>
        <v>2.3978971410346375E-3</v>
      </c>
    </row>
    <row r="255" spans="2:8" x14ac:dyDescent="0.3">
      <c r="B255" s="132">
        <v>45026</v>
      </c>
      <c r="C255" s="78">
        <v>2522.11</v>
      </c>
      <c r="D255" s="27">
        <f t="shared" si="6"/>
        <v>-1.2903705559121358E-2</v>
      </c>
      <c r="F255" s="77">
        <v>45026</v>
      </c>
      <c r="G255" s="78">
        <v>17624.05</v>
      </c>
      <c r="H255" s="27">
        <f t="shared" si="7"/>
        <v>1.4148410576645925E-3</v>
      </c>
    </row>
    <row r="256" spans="2:8" x14ac:dyDescent="0.3">
      <c r="B256" s="132">
        <v>45027</v>
      </c>
      <c r="C256" s="78">
        <v>2537.65</v>
      </c>
      <c r="D256" s="27">
        <f t="shared" si="6"/>
        <v>6.1615076265507697E-3</v>
      </c>
      <c r="F256" s="77">
        <v>45027</v>
      </c>
      <c r="G256" s="78">
        <v>17722.3</v>
      </c>
      <c r="H256" s="27">
        <f t="shared" si="7"/>
        <v>5.5747685690859935E-3</v>
      </c>
    </row>
    <row r="257" spans="2:8" x14ac:dyDescent="0.3">
      <c r="B257" s="132">
        <v>45028</v>
      </c>
      <c r="C257" s="78">
        <v>2518.92</v>
      </c>
      <c r="D257" s="27">
        <f t="shared" si="6"/>
        <v>-7.3808444820995869E-3</v>
      </c>
      <c r="F257" s="77">
        <v>45028</v>
      </c>
      <c r="G257" s="78">
        <v>17812.400000000001</v>
      </c>
      <c r="H257" s="27">
        <f t="shared" si="7"/>
        <v>5.0839902270022616E-3</v>
      </c>
    </row>
    <row r="258" spans="2:8" x14ac:dyDescent="0.3">
      <c r="B258" s="132">
        <v>45029</v>
      </c>
      <c r="C258" s="78">
        <v>2526.14</v>
      </c>
      <c r="D258" s="27">
        <f t="shared" si="6"/>
        <v>2.8663077827004429E-3</v>
      </c>
      <c r="F258" s="77">
        <v>45029</v>
      </c>
      <c r="G258" s="78">
        <v>17828</v>
      </c>
      <c r="H258" s="27">
        <f t="shared" si="7"/>
        <v>8.7579439042456621E-4</v>
      </c>
    </row>
    <row r="259" spans="2:8" x14ac:dyDescent="0.3">
      <c r="B259" s="132">
        <v>45033</v>
      </c>
      <c r="C259" s="78">
        <v>2541.73</v>
      </c>
      <c r="D259" s="27">
        <f t="shared" si="6"/>
        <v>6.1714710981973075E-3</v>
      </c>
      <c r="F259" s="77">
        <v>45033</v>
      </c>
      <c r="G259" s="78">
        <v>17706.849999999999</v>
      </c>
      <c r="H259" s="27">
        <f t="shared" si="7"/>
        <v>-6.7954902400718786E-3</v>
      </c>
    </row>
    <row r="260" spans="2:8" x14ac:dyDescent="0.3">
      <c r="B260" s="132">
        <v>45034</v>
      </c>
      <c r="C260" s="78">
        <v>2530.9699999999998</v>
      </c>
      <c r="D260" s="27">
        <f t="shared" si="6"/>
        <v>-4.2333371365173402E-3</v>
      </c>
      <c r="F260" s="77">
        <v>45034</v>
      </c>
      <c r="G260" s="78">
        <v>17660.150000000001</v>
      </c>
      <c r="H260" s="27">
        <f t="shared" si="7"/>
        <v>-2.637397391404857E-3</v>
      </c>
    </row>
    <row r="261" spans="2:8" x14ac:dyDescent="0.3">
      <c r="B261" s="132">
        <v>45035</v>
      </c>
      <c r="C261" s="78">
        <v>2521.56</v>
      </c>
      <c r="D261" s="27">
        <f t="shared" ref="D261:D324" si="8">(C261-C260)/C260</f>
        <v>-3.7179421328580962E-3</v>
      </c>
      <c r="F261" s="77">
        <v>45035</v>
      </c>
      <c r="G261" s="78">
        <v>17618.75</v>
      </c>
      <c r="H261" s="27">
        <f t="shared" ref="H261:H324" si="9">(G261-G260)/G260</f>
        <v>-2.3442609490860185E-3</v>
      </c>
    </row>
    <row r="262" spans="2:8" x14ac:dyDescent="0.3">
      <c r="B262" s="132">
        <v>45036</v>
      </c>
      <c r="C262" s="78">
        <v>2482.71</v>
      </c>
      <c r="D262" s="27">
        <f t="shared" si="8"/>
        <v>-1.5407128920192225E-2</v>
      </c>
      <c r="F262" s="77">
        <v>45036</v>
      </c>
      <c r="G262" s="78">
        <v>17624.45</v>
      </c>
      <c r="H262" s="27">
        <f t="shared" si="9"/>
        <v>3.2351897836116228E-4</v>
      </c>
    </row>
    <row r="263" spans="2:8" x14ac:dyDescent="0.3">
      <c r="B263" s="132">
        <v>45037</v>
      </c>
      <c r="C263" s="78">
        <v>2488.04</v>
      </c>
      <c r="D263" s="27">
        <f t="shared" si="8"/>
        <v>2.1468475979876537E-3</v>
      </c>
      <c r="F263" s="77">
        <v>45037</v>
      </c>
      <c r="G263" s="78">
        <v>17624.05</v>
      </c>
      <c r="H263" s="27">
        <f t="shared" si="9"/>
        <v>-2.2695743697048997E-5</v>
      </c>
    </row>
    <row r="264" spans="2:8" x14ac:dyDescent="0.3">
      <c r="B264" s="132">
        <v>45040</v>
      </c>
      <c r="C264" s="78">
        <v>2489.84</v>
      </c>
      <c r="D264" s="27">
        <f t="shared" si="8"/>
        <v>7.2346103760397018E-4</v>
      </c>
      <c r="F264" s="77">
        <v>45040</v>
      </c>
      <c r="G264" s="78">
        <v>17743.400000000001</v>
      </c>
      <c r="H264" s="27">
        <f t="shared" si="9"/>
        <v>6.7719962210730329E-3</v>
      </c>
    </row>
    <row r="265" spans="2:8" x14ac:dyDescent="0.3">
      <c r="B265" s="132">
        <v>45041</v>
      </c>
      <c r="C265" s="78">
        <v>2480.5700000000002</v>
      </c>
      <c r="D265" s="27">
        <f t="shared" si="8"/>
        <v>-3.723130803585765E-3</v>
      </c>
      <c r="F265" s="77">
        <v>45041</v>
      </c>
      <c r="G265" s="78">
        <v>17769.25</v>
      </c>
      <c r="H265" s="27">
        <f t="shared" si="9"/>
        <v>1.4568797411994624E-3</v>
      </c>
    </row>
    <row r="266" spans="2:8" x14ac:dyDescent="0.3">
      <c r="B266" s="132">
        <v>45042</v>
      </c>
      <c r="C266" s="78">
        <v>2500.84</v>
      </c>
      <c r="D266" s="27">
        <f t="shared" si="8"/>
        <v>8.1715089676969322E-3</v>
      </c>
      <c r="F266" s="77">
        <v>45042</v>
      </c>
      <c r="G266" s="78">
        <v>17813.599999999999</v>
      </c>
      <c r="H266" s="27">
        <f t="shared" si="9"/>
        <v>2.495884744713398E-3</v>
      </c>
    </row>
    <row r="267" spans="2:8" x14ac:dyDescent="0.3">
      <c r="B267" s="132">
        <v>45043</v>
      </c>
      <c r="C267" s="78">
        <v>2459.16</v>
      </c>
      <c r="D267" s="27">
        <f t="shared" si="8"/>
        <v>-1.6666400089570019E-2</v>
      </c>
      <c r="F267" s="77">
        <v>45043</v>
      </c>
      <c r="G267" s="78">
        <v>17915.05</v>
      </c>
      <c r="H267" s="27">
        <f t="shared" si="9"/>
        <v>5.6950868998967494E-3</v>
      </c>
    </row>
    <row r="268" spans="2:8" x14ac:dyDescent="0.3">
      <c r="B268" s="132">
        <v>45044</v>
      </c>
      <c r="C268" s="78">
        <v>2447.5500000000002</v>
      </c>
      <c r="D268" s="27">
        <f t="shared" si="8"/>
        <v>-4.7211242863415444E-3</v>
      </c>
      <c r="F268" s="77">
        <v>45044</v>
      </c>
      <c r="G268" s="78">
        <v>18065</v>
      </c>
      <c r="H268" s="27">
        <f t="shared" si="9"/>
        <v>8.37005757728841E-3</v>
      </c>
    </row>
    <row r="269" spans="2:8" x14ac:dyDescent="0.3">
      <c r="B269" s="132">
        <v>45048</v>
      </c>
      <c r="C269" s="78">
        <v>2441.98</v>
      </c>
      <c r="D269" s="27">
        <f t="shared" si="8"/>
        <v>-2.2757451328880569E-3</v>
      </c>
      <c r="F269" s="77">
        <v>45048</v>
      </c>
      <c r="G269" s="78">
        <v>18147.650000000001</v>
      </c>
      <c r="H269" s="27">
        <f t="shared" si="9"/>
        <v>4.5751453086078859E-3</v>
      </c>
    </row>
    <row r="270" spans="2:8" x14ac:dyDescent="0.3">
      <c r="B270" s="132">
        <v>45049</v>
      </c>
      <c r="C270" s="78">
        <v>2476.14</v>
      </c>
      <c r="D270" s="27">
        <f t="shared" si="8"/>
        <v>1.3988648555680166E-2</v>
      </c>
      <c r="F270" s="77">
        <v>45049</v>
      </c>
      <c r="G270" s="78">
        <v>18089.849999999999</v>
      </c>
      <c r="H270" s="27">
        <f t="shared" si="9"/>
        <v>-3.1849853837826333E-3</v>
      </c>
    </row>
    <row r="271" spans="2:8" x14ac:dyDescent="0.3">
      <c r="B271" s="132">
        <v>45050</v>
      </c>
      <c r="C271" s="78">
        <v>2496.81</v>
      </c>
      <c r="D271" s="27">
        <f t="shared" si="8"/>
        <v>8.3476701640456813E-3</v>
      </c>
      <c r="F271" s="77">
        <v>45050</v>
      </c>
      <c r="G271" s="78">
        <v>18255.8</v>
      </c>
      <c r="H271" s="27">
        <f t="shared" si="9"/>
        <v>9.1736526284076844E-3</v>
      </c>
    </row>
    <row r="272" spans="2:8" x14ac:dyDescent="0.3">
      <c r="B272" s="132">
        <v>45051</v>
      </c>
      <c r="C272" s="78">
        <v>2490.83</v>
      </c>
      <c r="D272" s="27">
        <f t="shared" si="8"/>
        <v>-2.3950560915728543E-3</v>
      </c>
      <c r="F272" s="77">
        <v>45051</v>
      </c>
      <c r="G272" s="78">
        <v>18069</v>
      </c>
      <c r="H272" s="27">
        <f t="shared" si="9"/>
        <v>-1.0232364508813598E-2</v>
      </c>
    </row>
    <row r="273" spans="2:8" x14ac:dyDescent="0.3">
      <c r="B273" s="132">
        <v>45054</v>
      </c>
      <c r="C273" s="78">
        <v>2506.3200000000002</v>
      </c>
      <c r="D273" s="27">
        <f t="shared" si="8"/>
        <v>6.2188105972708846E-3</v>
      </c>
      <c r="F273" s="77">
        <v>45054</v>
      </c>
      <c r="G273" s="78">
        <v>18264.400000000001</v>
      </c>
      <c r="H273" s="27">
        <f t="shared" si="9"/>
        <v>1.0814101499806378E-2</v>
      </c>
    </row>
    <row r="274" spans="2:8" x14ac:dyDescent="0.3">
      <c r="B274" s="132">
        <v>45055</v>
      </c>
      <c r="C274" s="78">
        <v>2505.8200000000002</v>
      </c>
      <c r="D274" s="27">
        <f t="shared" si="8"/>
        <v>-1.9949567493376743E-4</v>
      </c>
      <c r="F274" s="77">
        <v>45055</v>
      </c>
      <c r="G274" s="78">
        <v>18265.95</v>
      </c>
      <c r="H274" s="27">
        <f t="shared" si="9"/>
        <v>8.4864545235500337E-5</v>
      </c>
    </row>
    <row r="275" spans="2:8" x14ac:dyDescent="0.3">
      <c r="B275" s="132">
        <v>45056</v>
      </c>
      <c r="C275" s="78">
        <v>2512.6999999999998</v>
      </c>
      <c r="D275" s="27">
        <f t="shared" si="8"/>
        <v>2.7456082240542631E-3</v>
      </c>
      <c r="F275" s="77">
        <v>45056</v>
      </c>
      <c r="G275" s="78">
        <v>18315.099999999999</v>
      </c>
      <c r="H275" s="27">
        <f t="shared" si="9"/>
        <v>2.690799000325623E-3</v>
      </c>
    </row>
    <row r="276" spans="2:8" x14ac:dyDescent="0.3">
      <c r="B276" s="132">
        <v>45057</v>
      </c>
      <c r="C276" s="78">
        <v>2582.12</v>
      </c>
      <c r="D276" s="27">
        <f t="shared" si="8"/>
        <v>2.762765153022648E-2</v>
      </c>
      <c r="F276" s="77">
        <v>45057</v>
      </c>
      <c r="G276" s="78">
        <v>18297</v>
      </c>
      <c r="H276" s="27">
        <f t="shared" si="9"/>
        <v>-9.8825559237997857E-4</v>
      </c>
    </row>
    <row r="277" spans="2:8" x14ac:dyDescent="0.3">
      <c r="B277" s="132">
        <v>45058</v>
      </c>
      <c r="C277" s="78">
        <v>2613</v>
      </c>
      <c r="D277" s="27">
        <f t="shared" si="8"/>
        <v>1.1959165337009942E-2</v>
      </c>
      <c r="F277" s="77">
        <v>45058</v>
      </c>
      <c r="G277" s="78">
        <v>18314.8</v>
      </c>
      <c r="H277" s="27">
        <f t="shared" si="9"/>
        <v>9.7283707711642744E-4</v>
      </c>
    </row>
    <row r="278" spans="2:8" x14ac:dyDescent="0.3">
      <c r="B278" s="132">
        <v>45061</v>
      </c>
      <c r="C278" s="78">
        <v>2651.69</v>
      </c>
      <c r="D278" s="27">
        <f t="shared" si="8"/>
        <v>1.4806735553004231E-2</v>
      </c>
      <c r="F278" s="77">
        <v>45061</v>
      </c>
      <c r="G278" s="78">
        <v>18398.849999999999</v>
      </c>
      <c r="H278" s="27">
        <f t="shared" si="9"/>
        <v>4.5891847030816212E-3</v>
      </c>
    </row>
    <row r="279" spans="2:8" x14ac:dyDescent="0.3">
      <c r="B279" s="132">
        <v>45062</v>
      </c>
      <c r="C279" s="78">
        <v>2665.29</v>
      </c>
      <c r="D279" s="27">
        <f t="shared" si="8"/>
        <v>5.1288046491105325E-3</v>
      </c>
      <c r="F279" s="77">
        <v>45062</v>
      </c>
      <c r="G279" s="78">
        <v>18286.5</v>
      </c>
      <c r="H279" s="27">
        <f t="shared" si="9"/>
        <v>-6.1063599083637597E-3</v>
      </c>
    </row>
    <row r="280" spans="2:8" x14ac:dyDescent="0.3">
      <c r="B280" s="132">
        <v>45063</v>
      </c>
      <c r="C280" s="78">
        <v>2651.19</v>
      </c>
      <c r="D280" s="27">
        <f t="shared" si="8"/>
        <v>-5.2902310817959427E-3</v>
      </c>
      <c r="F280" s="77">
        <v>45063</v>
      </c>
      <c r="G280" s="78">
        <v>18181.75</v>
      </c>
      <c r="H280" s="27">
        <f t="shared" si="9"/>
        <v>-5.7282694884204198E-3</v>
      </c>
    </row>
    <row r="281" spans="2:8" x14ac:dyDescent="0.3">
      <c r="B281" s="132">
        <v>45064</v>
      </c>
      <c r="C281" s="78">
        <v>2617.13</v>
      </c>
      <c r="D281" s="27">
        <f t="shared" si="8"/>
        <v>-1.2847061131039249E-2</v>
      </c>
      <c r="F281" s="77">
        <v>45064</v>
      </c>
      <c r="G281" s="78">
        <v>18129.95</v>
      </c>
      <c r="H281" s="27">
        <f t="shared" si="9"/>
        <v>-2.8490106837900241E-3</v>
      </c>
    </row>
    <row r="282" spans="2:8" x14ac:dyDescent="0.3">
      <c r="B282" s="132">
        <v>45065</v>
      </c>
      <c r="C282" s="78">
        <v>2630.97</v>
      </c>
      <c r="D282" s="27">
        <f t="shared" si="8"/>
        <v>5.2882355863100765E-3</v>
      </c>
      <c r="F282" s="77">
        <v>45065</v>
      </c>
      <c r="G282" s="78">
        <v>18203.400000000001</v>
      </c>
      <c r="H282" s="27">
        <f t="shared" si="9"/>
        <v>4.0513073670915105E-3</v>
      </c>
    </row>
    <row r="283" spans="2:8" x14ac:dyDescent="0.3">
      <c r="B283" s="132">
        <v>45068</v>
      </c>
      <c r="C283" s="78">
        <v>2627.64</v>
      </c>
      <c r="D283" s="27">
        <f t="shared" si="8"/>
        <v>-1.2656928813327129E-3</v>
      </c>
      <c r="F283" s="77">
        <v>45068</v>
      </c>
      <c r="G283" s="78">
        <v>18314.400000000001</v>
      </c>
      <c r="H283" s="27">
        <f t="shared" si="9"/>
        <v>6.0977619565575659E-3</v>
      </c>
    </row>
    <row r="284" spans="2:8" x14ac:dyDescent="0.3">
      <c r="B284" s="132">
        <v>45069</v>
      </c>
      <c r="C284" s="78">
        <v>2617.88</v>
      </c>
      <c r="D284" s="27">
        <f t="shared" si="8"/>
        <v>-3.7143596535293131E-3</v>
      </c>
      <c r="F284" s="77">
        <v>45069</v>
      </c>
      <c r="G284" s="78">
        <v>18348</v>
      </c>
      <c r="H284" s="27">
        <f t="shared" si="9"/>
        <v>1.8346219368365079E-3</v>
      </c>
    </row>
    <row r="285" spans="2:8" x14ac:dyDescent="0.3">
      <c r="B285" s="132">
        <v>45070</v>
      </c>
      <c r="C285" s="78">
        <v>2604.58</v>
      </c>
      <c r="D285" s="27">
        <f t="shared" si="8"/>
        <v>-5.0804467737253734E-3</v>
      </c>
      <c r="F285" s="77">
        <v>45070</v>
      </c>
      <c r="G285" s="78">
        <v>18285.400000000001</v>
      </c>
      <c r="H285" s="27">
        <f t="shared" si="9"/>
        <v>-3.4118160017439802E-3</v>
      </c>
    </row>
    <row r="286" spans="2:8" x14ac:dyDescent="0.3">
      <c r="B286" s="132">
        <v>45071</v>
      </c>
      <c r="C286" s="78">
        <v>2586.9499999999998</v>
      </c>
      <c r="D286" s="27">
        <f t="shared" si="8"/>
        <v>-6.7688456488186619E-3</v>
      </c>
      <c r="F286" s="77">
        <v>45071</v>
      </c>
      <c r="G286" s="78">
        <v>18321.150000000001</v>
      </c>
      <c r="H286" s="27">
        <f t="shared" si="9"/>
        <v>1.9551117284828333E-3</v>
      </c>
    </row>
    <row r="287" spans="2:8" x14ac:dyDescent="0.3">
      <c r="B287" s="132">
        <v>45072</v>
      </c>
      <c r="C287" s="78">
        <v>2641.83</v>
      </c>
      <c r="D287" s="27">
        <f t="shared" si="8"/>
        <v>2.121417112816255E-2</v>
      </c>
      <c r="F287" s="77">
        <v>45072</v>
      </c>
      <c r="G287" s="78">
        <v>18499.349999999999</v>
      </c>
      <c r="H287" s="27">
        <f t="shared" si="9"/>
        <v>9.7264636772253412E-3</v>
      </c>
    </row>
    <row r="288" spans="2:8" x14ac:dyDescent="0.3">
      <c r="B288" s="132">
        <v>45075</v>
      </c>
      <c r="C288" s="78">
        <v>2639.79</v>
      </c>
      <c r="D288" s="27">
        <f t="shared" si="8"/>
        <v>-7.7219200327044652E-4</v>
      </c>
      <c r="F288" s="77">
        <v>45075</v>
      </c>
      <c r="G288" s="78">
        <v>18598.650000000001</v>
      </c>
      <c r="H288" s="27">
        <f t="shared" si="9"/>
        <v>5.3677561644059337E-3</v>
      </c>
    </row>
    <row r="289" spans="2:8" x14ac:dyDescent="0.3">
      <c r="B289" s="132">
        <v>45076</v>
      </c>
      <c r="C289" s="78">
        <v>2646.01</v>
      </c>
      <c r="D289" s="27">
        <f t="shared" si="8"/>
        <v>2.3562480348816592E-3</v>
      </c>
      <c r="F289" s="77">
        <v>45076</v>
      </c>
      <c r="G289" s="78">
        <v>18633.849999999999</v>
      </c>
      <c r="H289" s="27">
        <f t="shared" si="9"/>
        <v>1.8926104851694659E-3</v>
      </c>
    </row>
    <row r="290" spans="2:8" x14ac:dyDescent="0.3">
      <c r="B290" s="132">
        <v>45077</v>
      </c>
      <c r="C290" s="78">
        <v>2656.97</v>
      </c>
      <c r="D290" s="27">
        <f t="shared" si="8"/>
        <v>4.1420856308175633E-3</v>
      </c>
      <c r="F290" s="77">
        <v>45077</v>
      </c>
      <c r="G290" s="78">
        <v>18534.400000000001</v>
      </c>
      <c r="H290" s="27">
        <f t="shared" si="9"/>
        <v>-5.3370613158309791E-3</v>
      </c>
    </row>
    <row r="291" spans="2:8" x14ac:dyDescent="0.3">
      <c r="B291" s="132">
        <v>45078</v>
      </c>
      <c r="C291" s="78">
        <v>2687.2</v>
      </c>
      <c r="D291" s="27">
        <f t="shared" si="8"/>
        <v>1.1377621877552258E-2</v>
      </c>
      <c r="F291" s="77">
        <v>45078</v>
      </c>
      <c r="G291" s="78">
        <v>18487.75</v>
      </c>
      <c r="H291" s="27">
        <f t="shared" si="9"/>
        <v>-2.5169414709945537E-3</v>
      </c>
    </row>
    <row r="292" spans="2:8" x14ac:dyDescent="0.3">
      <c r="B292" s="132">
        <v>45079</v>
      </c>
      <c r="C292" s="78">
        <v>2705.93</v>
      </c>
      <c r="D292" s="27">
        <f t="shared" si="8"/>
        <v>6.9700803810658005E-3</v>
      </c>
      <c r="F292" s="77">
        <v>45079</v>
      </c>
      <c r="G292" s="78">
        <v>18534.099999999999</v>
      </c>
      <c r="H292" s="27">
        <f t="shared" si="9"/>
        <v>2.5070654893104105E-3</v>
      </c>
    </row>
    <row r="293" spans="2:8" x14ac:dyDescent="0.3">
      <c r="B293" s="132">
        <v>45082</v>
      </c>
      <c r="C293" s="78">
        <v>2685.11</v>
      </c>
      <c r="D293" s="27">
        <f t="shared" si="8"/>
        <v>-7.6942123410434528E-3</v>
      </c>
      <c r="F293" s="77">
        <v>45082</v>
      </c>
      <c r="G293" s="78">
        <v>18593.849999999999</v>
      </c>
      <c r="H293" s="27">
        <f t="shared" si="9"/>
        <v>3.2237875051931309E-3</v>
      </c>
    </row>
    <row r="294" spans="2:8" x14ac:dyDescent="0.3">
      <c r="B294" s="132">
        <v>45083</v>
      </c>
      <c r="C294" s="78">
        <v>2680.48</v>
      </c>
      <c r="D294" s="27">
        <f t="shared" si="8"/>
        <v>-1.7243241431450142E-3</v>
      </c>
      <c r="F294" s="77">
        <v>45083</v>
      </c>
      <c r="G294" s="78">
        <v>18599</v>
      </c>
      <c r="H294" s="27">
        <f t="shared" si="9"/>
        <v>2.7697330031174045E-4</v>
      </c>
    </row>
    <row r="295" spans="2:8" x14ac:dyDescent="0.3">
      <c r="B295" s="132">
        <v>45084</v>
      </c>
      <c r="C295" s="78">
        <v>2705.43</v>
      </c>
      <c r="D295" s="27">
        <f t="shared" si="8"/>
        <v>9.3080343819016802E-3</v>
      </c>
      <c r="F295" s="77">
        <v>45084</v>
      </c>
      <c r="G295" s="78">
        <v>18726.400000000001</v>
      </c>
      <c r="H295" s="27">
        <f t="shared" si="9"/>
        <v>6.8498306360557804E-3</v>
      </c>
    </row>
    <row r="296" spans="2:8" x14ac:dyDescent="0.3">
      <c r="B296" s="132">
        <v>45085</v>
      </c>
      <c r="C296" s="78">
        <v>2669.27</v>
      </c>
      <c r="D296" s="27">
        <f t="shared" si="8"/>
        <v>-1.3365712659355392E-2</v>
      </c>
      <c r="F296" s="77">
        <v>45085</v>
      </c>
      <c r="G296" s="78">
        <v>18634.55</v>
      </c>
      <c r="H296" s="27">
        <f t="shared" si="9"/>
        <v>-4.9048402255640264E-3</v>
      </c>
    </row>
    <row r="297" spans="2:8" x14ac:dyDescent="0.3">
      <c r="B297" s="132">
        <v>45086</v>
      </c>
      <c r="C297" s="78">
        <v>2625.75</v>
      </c>
      <c r="D297" s="27">
        <f t="shared" si="8"/>
        <v>-1.6304083138835704E-2</v>
      </c>
      <c r="F297" s="77">
        <v>45086</v>
      </c>
      <c r="G297" s="78">
        <v>18563.400000000001</v>
      </c>
      <c r="H297" s="27">
        <f t="shared" si="9"/>
        <v>-3.8181764518058028E-3</v>
      </c>
    </row>
    <row r="298" spans="2:8" x14ac:dyDescent="0.3">
      <c r="B298" s="132">
        <v>45089</v>
      </c>
      <c r="C298" s="78">
        <v>2632.97</v>
      </c>
      <c r="D298" s="27">
        <f t="shared" si="8"/>
        <v>2.7496905646005143E-3</v>
      </c>
      <c r="F298" s="77">
        <v>45089</v>
      </c>
      <c r="G298" s="78">
        <v>18601.5</v>
      </c>
      <c r="H298" s="27">
        <f t="shared" si="9"/>
        <v>2.0524257409740964E-3</v>
      </c>
    </row>
    <row r="299" spans="2:8" x14ac:dyDescent="0.3">
      <c r="B299" s="132">
        <v>45090</v>
      </c>
      <c r="C299" s="78">
        <v>2665.29</v>
      </c>
      <c r="D299" s="27">
        <f t="shared" si="8"/>
        <v>1.2275111376126642E-2</v>
      </c>
      <c r="F299" s="77">
        <v>45090</v>
      </c>
      <c r="G299" s="78">
        <v>18716.150000000001</v>
      </c>
      <c r="H299" s="27">
        <f t="shared" si="9"/>
        <v>6.1634814396689221E-3</v>
      </c>
    </row>
    <row r="300" spans="2:8" x14ac:dyDescent="0.3">
      <c r="B300" s="132">
        <v>45091</v>
      </c>
      <c r="C300" s="78">
        <v>2688.05</v>
      </c>
      <c r="D300" s="27">
        <f t="shared" si="8"/>
        <v>8.539408469622525E-3</v>
      </c>
      <c r="F300" s="77">
        <v>45091</v>
      </c>
      <c r="G300" s="78">
        <v>18755.900000000001</v>
      </c>
      <c r="H300" s="27">
        <f t="shared" si="9"/>
        <v>2.1238342287275961E-3</v>
      </c>
    </row>
    <row r="301" spans="2:8" x14ac:dyDescent="0.3">
      <c r="B301" s="132">
        <v>45092</v>
      </c>
      <c r="C301" s="78">
        <v>2679.03</v>
      </c>
      <c r="D301" s="27">
        <f t="shared" si="8"/>
        <v>-3.3555923438924056E-3</v>
      </c>
      <c r="F301" s="77">
        <v>45092</v>
      </c>
      <c r="G301" s="78">
        <v>18688.099999999999</v>
      </c>
      <c r="H301" s="27">
        <f t="shared" si="9"/>
        <v>-3.6148625232595025E-3</v>
      </c>
    </row>
    <row r="302" spans="2:8" x14ac:dyDescent="0.3">
      <c r="B302" s="132">
        <v>45093</v>
      </c>
      <c r="C302" s="78">
        <v>2704.88</v>
      </c>
      <c r="D302" s="27">
        <f t="shared" si="8"/>
        <v>9.6490147553405185E-3</v>
      </c>
      <c r="F302" s="77">
        <v>45093</v>
      </c>
      <c r="G302" s="78">
        <v>18826</v>
      </c>
      <c r="H302" s="27">
        <f t="shared" si="9"/>
        <v>7.3790272954447735E-3</v>
      </c>
    </row>
    <row r="303" spans="2:8" x14ac:dyDescent="0.3">
      <c r="B303" s="132">
        <v>45096</v>
      </c>
      <c r="C303" s="78">
        <v>2672.61</v>
      </c>
      <c r="D303" s="27">
        <f t="shared" si="8"/>
        <v>-1.193028895921445E-2</v>
      </c>
      <c r="F303" s="77">
        <v>45096</v>
      </c>
      <c r="G303" s="78">
        <v>18755.45</v>
      </c>
      <c r="H303" s="27">
        <f t="shared" si="9"/>
        <v>-3.7474768936576687E-3</v>
      </c>
    </row>
    <row r="304" spans="2:8" x14ac:dyDescent="0.3">
      <c r="B304" s="132">
        <v>45097</v>
      </c>
      <c r="C304" s="78">
        <v>2665.49</v>
      </c>
      <c r="D304" s="27">
        <f t="shared" si="8"/>
        <v>-2.6640624707684043E-3</v>
      </c>
      <c r="F304" s="77">
        <v>45097</v>
      </c>
      <c r="G304" s="78">
        <v>18816.7</v>
      </c>
      <c r="H304" s="27">
        <f t="shared" si="9"/>
        <v>3.2657174314665869E-3</v>
      </c>
    </row>
    <row r="305" spans="2:8" x14ac:dyDescent="0.3">
      <c r="B305" s="132">
        <v>45098</v>
      </c>
      <c r="C305" s="78">
        <v>2665.99</v>
      </c>
      <c r="D305" s="27">
        <f t="shared" si="8"/>
        <v>1.8758277089765861E-4</v>
      </c>
      <c r="F305" s="77">
        <v>45098</v>
      </c>
      <c r="G305" s="78">
        <v>18856.849999999999</v>
      </c>
      <c r="H305" s="27">
        <f t="shared" si="9"/>
        <v>2.1337428985952808E-3</v>
      </c>
    </row>
    <row r="306" spans="2:8" x14ac:dyDescent="0.3">
      <c r="B306" s="132">
        <v>45099</v>
      </c>
      <c r="C306" s="78">
        <v>2643.82</v>
      </c>
      <c r="D306" s="27">
        <f t="shared" si="8"/>
        <v>-8.3158601495127958E-3</v>
      </c>
      <c r="F306" s="77">
        <v>45099</v>
      </c>
      <c r="G306" s="78">
        <v>18771.25</v>
      </c>
      <c r="H306" s="27">
        <f t="shared" si="9"/>
        <v>-4.5394644386521901E-3</v>
      </c>
    </row>
    <row r="307" spans="2:8" x14ac:dyDescent="0.3">
      <c r="B307" s="132">
        <v>45100</v>
      </c>
      <c r="C307" s="78">
        <v>2631.12</v>
      </c>
      <c r="D307" s="27">
        <f t="shared" si="8"/>
        <v>-4.8036553169278819E-3</v>
      </c>
      <c r="F307" s="77">
        <v>45100</v>
      </c>
      <c r="G307" s="78">
        <v>18665.5</v>
      </c>
      <c r="H307" s="27">
        <f t="shared" si="9"/>
        <v>-5.6336152360657917E-3</v>
      </c>
    </row>
    <row r="308" spans="2:8" x14ac:dyDescent="0.3">
      <c r="B308" s="132">
        <v>45103</v>
      </c>
      <c r="C308" s="78">
        <v>2641.58</v>
      </c>
      <c r="D308" s="27">
        <f t="shared" si="8"/>
        <v>3.975493326036075E-3</v>
      </c>
      <c r="F308" s="77">
        <v>45103</v>
      </c>
      <c r="G308" s="78">
        <v>18691.2</v>
      </c>
      <c r="H308" s="27">
        <f t="shared" si="9"/>
        <v>1.3768717687713014E-3</v>
      </c>
    </row>
    <row r="309" spans="2:8" x14ac:dyDescent="0.3">
      <c r="B309" s="132">
        <v>45104</v>
      </c>
      <c r="C309" s="78">
        <v>2640.83</v>
      </c>
      <c r="D309" s="27">
        <f t="shared" si="8"/>
        <v>-2.8392098668221294E-4</v>
      </c>
      <c r="F309" s="77">
        <v>45104</v>
      </c>
      <c r="G309" s="78">
        <v>18817.400000000001</v>
      </c>
      <c r="H309" s="27">
        <f t="shared" si="9"/>
        <v>6.7518404382811547E-3</v>
      </c>
    </row>
    <row r="310" spans="2:8" x14ac:dyDescent="0.3">
      <c r="B310" s="132">
        <v>45105</v>
      </c>
      <c r="C310" s="78">
        <v>2650.7</v>
      </c>
      <c r="D310" s="27">
        <f t="shared" si="8"/>
        <v>3.7374613284459398E-3</v>
      </c>
      <c r="F310" s="77">
        <v>45105</v>
      </c>
      <c r="G310" s="78">
        <v>18972.099999999999</v>
      </c>
      <c r="H310" s="27">
        <f t="shared" si="9"/>
        <v>8.2211145004090404E-3</v>
      </c>
    </row>
    <row r="311" spans="2:8" x14ac:dyDescent="0.3">
      <c r="B311" s="132">
        <v>45107</v>
      </c>
      <c r="C311" s="78">
        <v>2667.53</v>
      </c>
      <c r="D311" s="27">
        <f t="shared" si="8"/>
        <v>6.3492662315616189E-3</v>
      </c>
      <c r="F311" s="77">
        <v>45107</v>
      </c>
      <c r="G311" s="78">
        <v>19189.05</v>
      </c>
      <c r="H311" s="27">
        <f t="shared" si="9"/>
        <v>1.1435212759789414E-2</v>
      </c>
    </row>
    <row r="312" spans="2:8" x14ac:dyDescent="0.3">
      <c r="B312" s="132">
        <v>45110</v>
      </c>
      <c r="C312" s="78">
        <v>2690.34</v>
      </c>
      <c r="D312" s="27">
        <f t="shared" si="8"/>
        <v>8.5509816197006008E-3</v>
      </c>
      <c r="F312" s="77">
        <v>45110</v>
      </c>
      <c r="G312" s="78">
        <v>19322.55</v>
      </c>
      <c r="H312" s="27">
        <f t="shared" si="9"/>
        <v>6.9570927169401303E-3</v>
      </c>
    </row>
    <row r="313" spans="2:8" x14ac:dyDescent="0.3">
      <c r="B313" s="132">
        <v>45111</v>
      </c>
      <c r="C313" s="78">
        <v>2689.29</v>
      </c>
      <c r="D313" s="27">
        <f t="shared" si="8"/>
        <v>-3.9028524275748857E-4</v>
      </c>
      <c r="F313" s="77">
        <v>45111</v>
      </c>
      <c r="G313" s="78">
        <v>19389</v>
      </c>
      <c r="H313" s="27">
        <f t="shared" si="9"/>
        <v>3.4389870902132862E-3</v>
      </c>
    </row>
    <row r="314" spans="2:8" x14ac:dyDescent="0.3">
      <c r="B314" s="132">
        <v>45112</v>
      </c>
      <c r="C314" s="78">
        <v>2744.92</v>
      </c>
      <c r="D314" s="27">
        <f t="shared" si="8"/>
        <v>2.0685757207292672E-2</v>
      </c>
      <c r="F314" s="77">
        <v>45112</v>
      </c>
      <c r="G314" s="78">
        <v>19398.5</v>
      </c>
      <c r="H314" s="27">
        <f t="shared" si="9"/>
        <v>4.8996853886224153E-4</v>
      </c>
    </row>
    <row r="315" spans="2:8" x14ac:dyDescent="0.3">
      <c r="B315" s="132">
        <v>45113</v>
      </c>
      <c r="C315" s="78">
        <v>2746.17</v>
      </c>
      <c r="D315" s="27">
        <f t="shared" si="8"/>
        <v>4.5538667793596898E-4</v>
      </c>
      <c r="F315" s="77">
        <v>45113</v>
      </c>
      <c r="G315" s="78">
        <v>19497.3</v>
      </c>
      <c r="H315" s="27">
        <f t="shared" si="9"/>
        <v>5.0931773075237399E-3</v>
      </c>
    </row>
    <row r="316" spans="2:8" x14ac:dyDescent="0.3">
      <c r="B316" s="132">
        <v>45114</v>
      </c>
      <c r="C316" s="78">
        <v>2687.4</v>
      </c>
      <c r="D316" s="27">
        <f t="shared" si="8"/>
        <v>-2.1400714449578861E-2</v>
      </c>
      <c r="F316" s="77">
        <v>45114</v>
      </c>
      <c r="G316" s="78">
        <v>19331.8</v>
      </c>
      <c r="H316" s="27">
        <f t="shared" si="9"/>
        <v>-8.4883547978438049E-3</v>
      </c>
    </row>
    <row r="317" spans="2:8" x14ac:dyDescent="0.3">
      <c r="B317" s="132">
        <v>45117</v>
      </c>
      <c r="C317" s="78">
        <v>2646.01</v>
      </c>
      <c r="D317" s="27">
        <f t="shared" si="8"/>
        <v>-1.5401503311751087E-2</v>
      </c>
      <c r="F317" s="77">
        <v>45117</v>
      </c>
      <c r="G317" s="78">
        <v>19355.900000000001</v>
      </c>
      <c r="H317" s="27">
        <f t="shared" si="9"/>
        <v>1.2466505964267261E-3</v>
      </c>
    </row>
    <row r="318" spans="2:8" x14ac:dyDescent="0.3">
      <c r="B318" s="132">
        <v>45118</v>
      </c>
      <c r="C318" s="78">
        <v>2673.85</v>
      </c>
      <c r="D318" s="27">
        <f t="shared" si="8"/>
        <v>1.0521502186310592E-2</v>
      </c>
      <c r="F318" s="77">
        <v>45118</v>
      </c>
      <c r="G318" s="78">
        <v>19439.400000000001</v>
      </c>
      <c r="H318" s="27">
        <f t="shared" si="9"/>
        <v>4.3139301194984473E-3</v>
      </c>
    </row>
    <row r="319" spans="2:8" x14ac:dyDescent="0.3">
      <c r="B319" s="132">
        <v>45119</v>
      </c>
      <c r="C319" s="78">
        <v>2663.05</v>
      </c>
      <c r="D319" s="27">
        <f t="shared" si="8"/>
        <v>-4.0391196215194295E-3</v>
      </c>
      <c r="F319" s="77">
        <v>45119</v>
      </c>
      <c r="G319" s="78">
        <v>19384.3</v>
      </c>
      <c r="H319" s="27">
        <f t="shared" si="9"/>
        <v>-2.8344496229308611E-3</v>
      </c>
    </row>
    <row r="320" spans="2:8" x14ac:dyDescent="0.3">
      <c r="B320" s="132">
        <v>45120</v>
      </c>
      <c r="C320" s="78">
        <v>2644.17</v>
      </c>
      <c r="D320" s="27">
        <f t="shared" si="8"/>
        <v>-7.0896152907381042E-3</v>
      </c>
      <c r="F320" s="77">
        <v>45120</v>
      </c>
      <c r="G320" s="78">
        <v>19413.75</v>
      </c>
      <c r="H320" s="27">
        <f t="shared" si="9"/>
        <v>1.5192707500400185E-3</v>
      </c>
    </row>
    <row r="321" spans="2:8" x14ac:dyDescent="0.3">
      <c r="B321" s="132">
        <v>45121</v>
      </c>
      <c r="C321" s="78">
        <v>2666.28</v>
      </c>
      <c r="D321" s="27">
        <f t="shared" si="8"/>
        <v>8.3617921691873549E-3</v>
      </c>
      <c r="F321" s="77">
        <v>45121</v>
      </c>
      <c r="G321" s="78">
        <v>19564.5</v>
      </c>
      <c r="H321" s="27">
        <f t="shared" si="9"/>
        <v>7.7651149314274673E-3</v>
      </c>
    </row>
    <row r="322" spans="2:8" x14ac:dyDescent="0.3">
      <c r="B322" s="132">
        <v>45124</v>
      </c>
      <c r="C322" s="78">
        <v>2671.06</v>
      </c>
      <c r="D322" s="27">
        <f t="shared" si="8"/>
        <v>1.7927599501926822E-3</v>
      </c>
      <c r="F322" s="77">
        <v>45124</v>
      </c>
      <c r="G322" s="78">
        <v>19711.45</v>
      </c>
      <c r="H322" s="27">
        <f t="shared" si="9"/>
        <v>7.511053183061194E-3</v>
      </c>
    </row>
    <row r="323" spans="2:8" x14ac:dyDescent="0.3">
      <c r="B323" s="132">
        <v>45125</v>
      </c>
      <c r="C323" s="78">
        <v>2672.16</v>
      </c>
      <c r="D323" s="27">
        <f t="shared" si="8"/>
        <v>4.1182152403911146E-4</v>
      </c>
      <c r="F323" s="77">
        <v>45125</v>
      </c>
      <c r="G323" s="78">
        <v>19749.25</v>
      </c>
      <c r="H323" s="27">
        <f t="shared" si="9"/>
        <v>1.9176671427012864E-3</v>
      </c>
    </row>
    <row r="324" spans="2:8" x14ac:dyDescent="0.3">
      <c r="B324" s="132">
        <v>45126</v>
      </c>
      <c r="C324" s="78">
        <v>2661</v>
      </c>
      <c r="D324" s="27">
        <f t="shared" si="8"/>
        <v>-4.1763966229566548E-3</v>
      </c>
      <c r="F324" s="77">
        <v>45126</v>
      </c>
      <c r="G324" s="78">
        <v>19833.150000000001</v>
      </c>
      <c r="H324" s="27">
        <f t="shared" si="9"/>
        <v>4.248262592250412E-3</v>
      </c>
    </row>
    <row r="325" spans="2:8" x14ac:dyDescent="0.3">
      <c r="B325" s="132">
        <v>45127</v>
      </c>
      <c r="C325" s="78">
        <v>2692.53</v>
      </c>
      <c r="D325" s="27">
        <f t="shared" ref="D325:D388" si="10">(C325-C324)/C324</f>
        <v>1.1848928974069974E-2</v>
      </c>
      <c r="F325" s="77">
        <v>45127</v>
      </c>
      <c r="G325" s="78">
        <v>19979.150000000001</v>
      </c>
      <c r="H325" s="27">
        <f t="shared" ref="H325:H388" si="11">(G325-G324)/G324</f>
        <v>7.3614125844860745E-3</v>
      </c>
    </row>
    <row r="326" spans="2:8" x14ac:dyDescent="0.3">
      <c r="B326" s="132">
        <v>45128</v>
      </c>
      <c r="C326" s="78">
        <v>2593.67</v>
      </c>
      <c r="D326" s="27">
        <f t="shared" si="10"/>
        <v>-3.6716396846089037E-2</v>
      </c>
      <c r="F326" s="77">
        <v>45128</v>
      </c>
      <c r="G326" s="78">
        <v>19745</v>
      </c>
      <c r="H326" s="27">
        <f t="shared" si="11"/>
        <v>-1.1719717805812631E-2</v>
      </c>
    </row>
    <row r="327" spans="2:8" x14ac:dyDescent="0.3">
      <c r="B327" s="132">
        <v>45131</v>
      </c>
      <c r="C327" s="78">
        <v>2570.02</v>
      </c>
      <c r="D327" s="27">
        <f t="shared" si="10"/>
        <v>-9.118353529940235E-3</v>
      </c>
      <c r="F327" s="77">
        <v>45131</v>
      </c>
      <c r="G327" s="78">
        <v>19672.349999999999</v>
      </c>
      <c r="H327" s="27">
        <f t="shared" si="11"/>
        <v>-3.6794125094961488E-3</v>
      </c>
    </row>
    <row r="328" spans="2:8" x14ac:dyDescent="0.3">
      <c r="B328" s="132">
        <v>45132</v>
      </c>
      <c r="C328" s="78">
        <v>2557.9699999999998</v>
      </c>
      <c r="D328" s="27">
        <f t="shared" si="10"/>
        <v>-4.6886794655295223E-3</v>
      </c>
      <c r="F328" s="77">
        <v>45132</v>
      </c>
      <c r="G328" s="78">
        <v>19680.599999999999</v>
      </c>
      <c r="H328" s="27">
        <f t="shared" si="11"/>
        <v>4.1937033450502868E-4</v>
      </c>
    </row>
    <row r="329" spans="2:8" x14ac:dyDescent="0.3">
      <c r="B329" s="132">
        <v>45133</v>
      </c>
      <c r="C329" s="78">
        <v>2573.0500000000002</v>
      </c>
      <c r="D329" s="27">
        <f t="shared" si="10"/>
        <v>5.8952997885043153E-3</v>
      </c>
      <c r="F329" s="77">
        <v>45133</v>
      </c>
      <c r="G329" s="78">
        <v>19778.3</v>
      </c>
      <c r="H329" s="27">
        <f t="shared" si="11"/>
        <v>4.9642795443228726E-3</v>
      </c>
    </row>
    <row r="330" spans="2:8" x14ac:dyDescent="0.3">
      <c r="B330" s="132">
        <v>45134</v>
      </c>
      <c r="C330" s="78">
        <v>2559.66</v>
      </c>
      <c r="D330" s="27">
        <f t="shared" si="10"/>
        <v>-5.2039408484096019E-3</v>
      </c>
      <c r="F330" s="77">
        <v>45134</v>
      </c>
      <c r="G330" s="78">
        <v>19659.900000000001</v>
      </c>
      <c r="H330" s="27">
        <f t="shared" si="11"/>
        <v>-5.9863587871555098E-3</v>
      </c>
    </row>
    <row r="331" spans="2:8" x14ac:dyDescent="0.3">
      <c r="B331" s="132">
        <v>45135</v>
      </c>
      <c r="C331" s="78">
        <v>2574.35</v>
      </c>
      <c r="D331" s="27">
        <f t="shared" si="10"/>
        <v>5.7390434667104438E-3</v>
      </c>
      <c r="F331" s="77">
        <v>45135</v>
      </c>
      <c r="G331" s="78">
        <v>19646.05</v>
      </c>
      <c r="H331" s="27">
        <f t="shared" si="11"/>
        <v>-7.0447967690589379E-4</v>
      </c>
    </row>
    <row r="332" spans="2:8" x14ac:dyDescent="0.3">
      <c r="B332" s="132">
        <v>45138</v>
      </c>
      <c r="C332" s="78">
        <v>2550.64</v>
      </c>
      <c r="D332" s="27">
        <f t="shared" si="10"/>
        <v>-9.2100918678501512E-3</v>
      </c>
      <c r="F332" s="77">
        <v>45138</v>
      </c>
      <c r="G332" s="78">
        <v>19753.8</v>
      </c>
      <c r="H332" s="27">
        <f t="shared" si="11"/>
        <v>5.4845630546598431E-3</v>
      </c>
    </row>
    <row r="333" spans="2:8" x14ac:dyDescent="0.3">
      <c r="B333" s="132">
        <v>45139</v>
      </c>
      <c r="C333" s="78">
        <v>2540.98</v>
      </c>
      <c r="D333" s="27">
        <f t="shared" si="10"/>
        <v>-3.78728475990334E-3</v>
      </c>
      <c r="F333" s="77">
        <v>45139</v>
      </c>
      <c r="G333" s="78">
        <v>19733.55</v>
      </c>
      <c r="H333" s="27">
        <f t="shared" si="11"/>
        <v>-1.0251192175682654E-3</v>
      </c>
    </row>
    <row r="334" spans="2:8" x14ac:dyDescent="0.3">
      <c r="B334" s="132">
        <v>45140</v>
      </c>
      <c r="C334" s="78">
        <v>2558.7600000000002</v>
      </c>
      <c r="D334" s="27">
        <f t="shared" si="10"/>
        <v>6.997300254232698E-3</v>
      </c>
      <c r="F334" s="77">
        <v>45140</v>
      </c>
      <c r="G334" s="78">
        <v>19526.55</v>
      </c>
      <c r="H334" s="27">
        <f t="shared" si="11"/>
        <v>-1.0489749690248334E-2</v>
      </c>
    </row>
    <row r="335" spans="2:8" x14ac:dyDescent="0.3">
      <c r="B335" s="132">
        <v>45141</v>
      </c>
      <c r="C335" s="78">
        <v>2541.1799999999998</v>
      </c>
      <c r="D335" s="27">
        <f t="shared" si="10"/>
        <v>-6.8705154058998812E-3</v>
      </c>
      <c r="F335" s="77">
        <v>45141</v>
      </c>
      <c r="G335" s="78">
        <v>19381.650000000001</v>
      </c>
      <c r="H335" s="27">
        <f t="shared" si="11"/>
        <v>-7.4206657089961013E-3</v>
      </c>
    </row>
    <row r="336" spans="2:8" x14ac:dyDescent="0.3">
      <c r="B336" s="132">
        <v>45142</v>
      </c>
      <c r="C336" s="78">
        <v>2535.9</v>
      </c>
      <c r="D336" s="27">
        <f t="shared" si="10"/>
        <v>-2.0777748919792167E-3</v>
      </c>
      <c r="F336" s="77">
        <v>45142</v>
      </c>
      <c r="G336" s="78">
        <v>19517</v>
      </c>
      <c r="H336" s="27">
        <f t="shared" si="11"/>
        <v>6.9834095652330187E-3</v>
      </c>
    </row>
    <row r="337" spans="2:8" x14ac:dyDescent="0.3">
      <c r="B337" s="132">
        <v>45145</v>
      </c>
      <c r="C337" s="78">
        <v>2559.0100000000002</v>
      </c>
      <c r="D337" s="27">
        <f t="shared" si="10"/>
        <v>9.1131353760006816E-3</v>
      </c>
      <c r="F337" s="77">
        <v>45145</v>
      </c>
      <c r="G337" s="78">
        <v>19597.3</v>
      </c>
      <c r="H337" s="27">
        <f t="shared" si="11"/>
        <v>4.1143618383972574E-3</v>
      </c>
    </row>
    <row r="338" spans="2:8" x14ac:dyDescent="0.3">
      <c r="B338" s="132">
        <v>45146</v>
      </c>
      <c r="C338" s="78">
        <v>2555.67</v>
      </c>
      <c r="D338" s="27">
        <f t="shared" si="10"/>
        <v>-1.3051922423125135E-3</v>
      </c>
      <c r="F338" s="77">
        <v>45146</v>
      </c>
      <c r="G338" s="78">
        <v>19570.849999999999</v>
      </c>
      <c r="H338" s="27">
        <f t="shared" si="11"/>
        <v>-1.3496757206350226E-3</v>
      </c>
    </row>
    <row r="339" spans="2:8" x14ac:dyDescent="0.3">
      <c r="B339" s="132">
        <v>45147</v>
      </c>
      <c r="C339" s="78">
        <v>2542.08</v>
      </c>
      <c r="D339" s="27">
        <f t="shared" si="10"/>
        <v>-5.3175879514961418E-3</v>
      </c>
      <c r="F339" s="77">
        <v>45147</v>
      </c>
      <c r="G339" s="78">
        <v>19632.55</v>
      </c>
      <c r="H339" s="27">
        <f t="shared" si="11"/>
        <v>3.1526479432421551E-3</v>
      </c>
    </row>
    <row r="340" spans="2:8" x14ac:dyDescent="0.3">
      <c r="B340" s="132">
        <v>45148</v>
      </c>
      <c r="C340" s="78">
        <v>2526.64</v>
      </c>
      <c r="D340" s="27">
        <f t="shared" si="10"/>
        <v>-6.0737663645518847E-3</v>
      </c>
      <c r="F340" s="77">
        <v>45148</v>
      </c>
      <c r="G340" s="78">
        <v>19543.099999999999</v>
      </c>
      <c r="H340" s="27">
        <f t="shared" si="11"/>
        <v>-4.5562089489139587E-3</v>
      </c>
    </row>
    <row r="341" spans="2:8" x14ac:dyDescent="0.3">
      <c r="B341" s="132">
        <v>45149</v>
      </c>
      <c r="C341" s="78">
        <v>2491.88</v>
      </c>
      <c r="D341" s="27">
        <f t="shared" si="10"/>
        <v>-1.3757401133521105E-2</v>
      </c>
      <c r="F341" s="77">
        <v>45149</v>
      </c>
      <c r="G341" s="78">
        <v>19428.3</v>
      </c>
      <c r="H341" s="27">
        <f t="shared" si="11"/>
        <v>-5.8741960077981119E-3</v>
      </c>
    </row>
    <row r="342" spans="2:8" x14ac:dyDescent="0.3">
      <c r="B342" s="132">
        <v>45152</v>
      </c>
      <c r="C342" s="78">
        <v>2523.0500000000002</v>
      </c>
      <c r="D342" s="27">
        <f t="shared" si="10"/>
        <v>1.2508628023821401E-2</v>
      </c>
      <c r="F342" s="77">
        <v>45152</v>
      </c>
      <c r="G342" s="78">
        <v>19434.55</v>
      </c>
      <c r="H342" s="27">
        <f t="shared" si="11"/>
        <v>3.2169567074834135E-4</v>
      </c>
    </row>
    <row r="343" spans="2:8" x14ac:dyDescent="0.3">
      <c r="B343" s="132">
        <v>45154</v>
      </c>
      <c r="C343" s="78">
        <v>2542.48</v>
      </c>
      <c r="D343" s="27">
        <f t="shared" si="10"/>
        <v>7.7009968094171079E-3</v>
      </c>
      <c r="F343" s="77">
        <v>45154</v>
      </c>
      <c r="G343" s="78">
        <v>19465</v>
      </c>
      <c r="H343" s="27">
        <f t="shared" si="11"/>
        <v>1.5667972759853318E-3</v>
      </c>
    </row>
    <row r="344" spans="2:8" x14ac:dyDescent="0.3">
      <c r="B344" s="132">
        <v>45155</v>
      </c>
      <c r="C344" s="78">
        <v>2533.16</v>
      </c>
      <c r="D344" s="27">
        <f t="shared" si="10"/>
        <v>-3.6657122179919463E-3</v>
      </c>
      <c r="F344" s="77">
        <v>45155</v>
      </c>
      <c r="G344" s="78">
        <v>19365.25</v>
      </c>
      <c r="H344" s="27">
        <f t="shared" si="11"/>
        <v>-5.124582584125353E-3</v>
      </c>
    </row>
    <row r="345" spans="2:8" x14ac:dyDescent="0.3">
      <c r="B345" s="132">
        <v>45156</v>
      </c>
      <c r="C345" s="78">
        <v>2544.62</v>
      </c>
      <c r="D345" s="27">
        <f t="shared" si="10"/>
        <v>4.5239937469405949E-3</v>
      </c>
      <c r="F345" s="77">
        <v>45156</v>
      </c>
      <c r="G345" s="78">
        <v>19310.150000000001</v>
      </c>
      <c r="H345" s="27">
        <f t="shared" si="11"/>
        <v>-2.8453027975367498E-3</v>
      </c>
    </row>
    <row r="346" spans="2:8" x14ac:dyDescent="0.3">
      <c r="B346" s="132">
        <v>45159</v>
      </c>
      <c r="C346" s="78">
        <v>2552.59</v>
      </c>
      <c r="D346" s="27">
        <f t="shared" si="10"/>
        <v>3.1320983093743879E-3</v>
      </c>
      <c r="F346" s="77">
        <v>45159</v>
      </c>
      <c r="G346" s="78">
        <v>19393.599999999999</v>
      </c>
      <c r="H346" s="27">
        <f t="shared" si="11"/>
        <v>4.3215614586109936E-3</v>
      </c>
    </row>
    <row r="347" spans="2:8" x14ac:dyDescent="0.3">
      <c r="B347" s="132">
        <v>45160</v>
      </c>
      <c r="C347" s="78">
        <v>2555.62</v>
      </c>
      <c r="D347" s="27">
        <f t="shared" si="10"/>
        <v>1.1870296444002936E-3</v>
      </c>
      <c r="F347" s="77">
        <v>45160</v>
      </c>
      <c r="G347" s="78">
        <v>19396.45</v>
      </c>
      <c r="H347" s="27">
        <f t="shared" si="11"/>
        <v>1.4695569672480525E-4</v>
      </c>
    </row>
    <row r="348" spans="2:8" x14ac:dyDescent="0.3">
      <c r="B348" s="132">
        <v>45161</v>
      </c>
      <c r="C348" s="78">
        <v>2563.84</v>
      </c>
      <c r="D348" s="27">
        <f t="shared" si="10"/>
        <v>3.2164406288885889E-3</v>
      </c>
      <c r="F348" s="77">
        <v>45161</v>
      </c>
      <c r="G348" s="78">
        <v>19444</v>
      </c>
      <c r="H348" s="27">
        <f t="shared" si="11"/>
        <v>2.4514795233147959E-3</v>
      </c>
    </row>
    <row r="349" spans="2:8" x14ac:dyDescent="0.3">
      <c r="B349" s="132">
        <v>45162</v>
      </c>
      <c r="C349" s="78">
        <v>2571.0100000000002</v>
      </c>
      <c r="D349" s="27">
        <f t="shared" si="10"/>
        <v>2.7965863704443616E-3</v>
      </c>
      <c r="F349" s="77">
        <v>45162</v>
      </c>
      <c r="G349" s="78">
        <v>19386.7</v>
      </c>
      <c r="H349" s="27">
        <f t="shared" si="11"/>
        <v>-2.9469245011314168E-3</v>
      </c>
    </row>
    <row r="350" spans="2:8" x14ac:dyDescent="0.3">
      <c r="B350" s="132">
        <v>45163</v>
      </c>
      <c r="C350" s="78">
        <v>2553.38</v>
      </c>
      <c r="D350" s="27">
        <f t="shared" si="10"/>
        <v>-6.8572273153352601E-3</v>
      </c>
      <c r="F350" s="77">
        <v>45163</v>
      </c>
      <c r="G350" s="78">
        <v>19265.8</v>
      </c>
      <c r="H350" s="27">
        <f t="shared" si="11"/>
        <v>-6.2362341192674078E-3</v>
      </c>
    </row>
    <row r="351" spans="2:8" x14ac:dyDescent="0.3">
      <c r="B351" s="132">
        <v>45166</v>
      </c>
      <c r="C351" s="78">
        <v>2545.56</v>
      </c>
      <c r="D351" s="27">
        <f t="shared" si="10"/>
        <v>-3.0626072108343306E-3</v>
      </c>
      <c r="F351" s="77">
        <v>45166</v>
      </c>
      <c r="G351" s="78">
        <v>19306.05</v>
      </c>
      <c r="H351" s="27">
        <f t="shared" si="11"/>
        <v>2.0891943236200938E-3</v>
      </c>
    </row>
    <row r="352" spans="2:8" x14ac:dyDescent="0.3">
      <c r="B352" s="132">
        <v>45167</v>
      </c>
      <c r="C352" s="78">
        <v>2516.13</v>
      </c>
      <c r="D352" s="27">
        <f t="shared" si="10"/>
        <v>-1.1561306745863321E-2</v>
      </c>
      <c r="F352" s="77">
        <v>45167</v>
      </c>
      <c r="G352" s="78">
        <v>19342.650000000001</v>
      </c>
      <c r="H352" s="27">
        <f t="shared" si="11"/>
        <v>1.8957787843708156E-3</v>
      </c>
    </row>
    <row r="353" spans="2:8" x14ac:dyDescent="0.3">
      <c r="B353" s="132">
        <v>45168</v>
      </c>
      <c r="C353" s="78">
        <v>2521.91</v>
      </c>
      <c r="D353" s="27">
        <f t="shared" si="10"/>
        <v>2.2971786036491536E-3</v>
      </c>
      <c r="F353" s="77">
        <v>45168</v>
      </c>
      <c r="G353" s="78">
        <v>19347.45</v>
      </c>
      <c r="H353" s="27">
        <f t="shared" si="11"/>
        <v>2.4815627641503477E-4</v>
      </c>
    </row>
    <row r="354" spans="2:8" x14ac:dyDescent="0.3">
      <c r="B354" s="132">
        <v>45169</v>
      </c>
      <c r="C354" s="78">
        <v>2495.11</v>
      </c>
      <c r="D354" s="27">
        <f t="shared" si="10"/>
        <v>-1.0626866145104198E-2</v>
      </c>
      <c r="F354" s="77">
        <v>45169</v>
      </c>
      <c r="G354" s="78">
        <v>19253.8</v>
      </c>
      <c r="H354" s="27">
        <f t="shared" si="11"/>
        <v>-4.8404311679317667E-3</v>
      </c>
    </row>
    <row r="355" spans="2:8" x14ac:dyDescent="0.3">
      <c r="B355" s="132">
        <v>45170</v>
      </c>
      <c r="C355" s="78">
        <v>2494.87</v>
      </c>
      <c r="D355" s="27">
        <f t="shared" si="10"/>
        <v>-9.6188144009777703E-5</v>
      </c>
      <c r="F355" s="77">
        <v>45170</v>
      </c>
      <c r="G355" s="78">
        <v>19435.3</v>
      </c>
      <c r="H355" s="27">
        <f t="shared" si="11"/>
        <v>9.4267105714196681E-3</v>
      </c>
    </row>
    <row r="356" spans="2:8" x14ac:dyDescent="0.3">
      <c r="B356" s="132">
        <v>45173</v>
      </c>
      <c r="C356" s="78">
        <v>2491.48</v>
      </c>
      <c r="D356" s="27">
        <f t="shared" si="10"/>
        <v>-1.3587882334549987E-3</v>
      </c>
      <c r="F356" s="77">
        <v>45173</v>
      </c>
      <c r="G356" s="78">
        <v>19528.8</v>
      </c>
      <c r="H356" s="27">
        <f t="shared" si="11"/>
        <v>4.8108338950260607E-3</v>
      </c>
    </row>
    <row r="357" spans="2:8" x14ac:dyDescent="0.3">
      <c r="B357" s="132">
        <v>45174</v>
      </c>
      <c r="C357" s="78">
        <v>2497.11</v>
      </c>
      <c r="D357" s="27">
        <f t="shared" si="10"/>
        <v>2.25970106121667E-3</v>
      </c>
      <c r="F357" s="77">
        <v>45174</v>
      </c>
      <c r="G357" s="78">
        <v>19574.900000000001</v>
      </c>
      <c r="H357" s="27">
        <f t="shared" si="11"/>
        <v>2.3606161156856636E-3</v>
      </c>
    </row>
    <row r="358" spans="2:8" x14ac:dyDescent="0.3">
      <c r="B358" s="132">
        <v>45175</v>
      </c>
      <c r="C358" s="78">
        <v>2513.4899999999998</v>
      </c>
      <c r="D358" s="27">
        <f t="shared" si="10"/>
        <v>6.5595828778066056E-3</v>
      </c>
      <c r="F358" s="77">
        <v>45175</v>
      </c>
      <c r="G358" s="78">
        <v>19611.05</v>
      </c>
      <c r="H358" s="27">
        <f t="shared" si="11"/>
        <v>1.8467527292603187E-3</v>
      </c>
    </row>
    <row r="359" spans="2:8" x14ac:dyDescent="0.3">
      <c r="B359" s="132">
        <v>45176</v>
      </c>
      <c r="C359" s="78">
        <v>2497.5</v>
      </c>
      <c r="D359" s="27">
        <f t="shared" si="10"/>
        <v>-6.3616724156450926E-3</v>
      </c>
      <c r="F359" s="77">
        <v>45176</v>
      </c>
      <c r="G359" s="78">
        <v>19727.05</v>
      </c>
      <c r="H359" s="27">
        <f t="shared" si="11"/>
        <v>5.9150325964188559E-3</v>
      </c>
    </row>
    <row r="360" spans="2:8" x14ac:dyDescent="0.3">
      <c r="B360" s="132">
        <v>45177</v>
      </c>
      <c r="C360" s="78">
        <v>2503.83</v>
      </c>
      <c r="D360" s="27">
        <f t="shared" si="10"/>
        <v>2.5345345345345054E-3</v>
      </c>
      <c r="F360" s="77">
        <v>45177</v>
      </c>
      <c r="G360" s="78">
        <v>19819.95</v>
      </c>
      <c r="H360" s="27">
        <f t="shared" si="11"/>
        <v>4.709269759036524E-3</v>
      </c>
    </row>
    <row r="361" spans="2:8" x14ac:dyDescent="0.3">
      <c r="B361" s="132">
        <v>45180</v>
      </c>
      <c r="C361" s="78">
        <v>2526.19</v>
      </c>
      <c r="D361" s="27">
        <f t="shared" si="10"/>
        <v>8.9303187516724895E-3</v>
      </c>
      <c r="F361" s="77">
        <v>45180</v>
      </c>
      <c r="G361" s="78">
        <v>19996.349999999999</v>
      </c>
      <c r="H361" s="27">
        <f t="shared" si="11"/>
        <v>8.9001233605532706E-3</v>
      </c>
    </row>
    <row r="362" spans="2:8" x14ac:dyDescent="0.3">
      <c r="B362" s="132">
        <v>45181</v>
      </c>
      <c r="C362" s="78">
        <v>2488.94</v>
      </c>
      <c r="D362" s="27">
        <f t="shared" si="10"/>
        <v>-1.4745525870975659E-2</v>
      </c>
      <c r="F362" s="77">
        <v>45181</v>
      </c>
      <c r="G362" s="78">
        <v>19993.2</v>
      </c>
      <c r="H362" s="27">
        <f t="shared" si="11"/>
        <v>-1.5752874899658276E-4</v>
      </c>
    </row>
    <row r="363" spans="2:8" x14ac:dyDescent="0.3">
      <c r="B363" s="132">
        <v>45182</v>
      </c>
      <c r="C363" s="78">
        <v>2496.61</v>
      </c>
      <c r="D363" s="27">
        <f t="shared" si="10"/>
        <v>3.0816331450336581E-3</v>
      </c>
      <c r="F363" s="77">
        <v>45182</v>
      </c>
      <c r="G363" s="78">
        <v>20070</v>
      </c>
      <c r="H363" s="27">
        <f t="shared" si="11"/>
        <v>3.841306044054942E-3</v>
      </c>
    </row>
    <row r="364" spans="2:8" x14ac:dyDescent="0.3">
      <c r="B364" s="132">
        <v>45183</v>
      </c>
      <c r="C364" s="78">
        <v>2490.88</v>
      </c>
      <c r="D364" s="27">
        <f t="shared" si="10"/>
        <v>-2.2951121721053822E-3</v>
      </c>
      <c r="F364" s="77">
        <v>45183</v>
      </c>
      <c r="G364" s="78">
        <v>20103.099999999999</v>
      </c>
      <c r="H364" s="27">
        <f t="shared" si="11"/>
        <v>1.6492277030392898E-3</v>
      </c>
    </row>
    <row r="365" spans="2:8" x14ac:dyDescent="0.3">
      <c r="B365" s="132">
        <v>45184</v>
      </c>
      <c r="C365" s="78">
        <v>2459.91</v>
      </c>
      <c r="D365" s="27">
        <f t="shared" si="10"/>
        <v>-1.2433356885919938E-2</v>
      </c>
      <c r="F365" s="77">
        <v>45184</v>
      </c>
      <c r="G365" s="78">
        <v>20192.349999999999</v>
      </c>
      <c r="H365" s="27">
        <f t="shared" si="11"/>
        <v>4.4396137909078707E-3</v>
      </c>
    </row>
    <row r="366" spans="2:8" x14ac:dyDescent="0.3">
      <c r="B366" s="132">
        <v>45187</v>
      </c>
      <c r="C366" s="78">
        <v>2478.7800000000002</v>
      </c>
      <c r="D366" s="27">
        <f t="shared" si="10"/>
        <v>7.6710123541106571E-3</v>
      </c>
      <c r="F366" s="77">
        <v>45187</v>
      </c>
      <c r="G366" s="78">
        <v>20133.3</v>
      </c>
      <c r="H366" s="27">
        <f t="shared" si="11"/>
        <v>-2.9243748251193782E-3</v>
      </c>
    </row>
    <row r="367" spans="2:8" x14ac:dyDescent="0.3">
      <c r="B367" s="132">
        <v>45189</v>
      </c>
      <c r="C367" s="78">
        <v>2457.0700000000002</v>
      </c>
      <c r="D367" s="27">
        <f t="shared" si="10"/>
        <v>-8.758340796682253E-3</v>
      </c>
      <c r="F367" s="77">
        <v>45189</v>
      </c>
      <c r="G367" s="78">
        <v>19901.400000000001</v>
      </c>
      <c r="H367" s="27">
        <f t="shared" si="11"/>
        <v>-1.1518230990448552E-2</v>
      </c>
    </row>
    <row r="368" spans="2:8" x14ac:dyDescent="0.3">
      <c r="B368" s="132">
        <v>45190</v>
      </c>
      <c r="C368" s="78">
        <v>2463.54</v>
      </c>
      <c r="D368" s="27">
        <f t="shared" si="10"/>
        <v>2.6332176128477411E-3</v>
      </c>
      <c r="F368" s="77">
        <v>45190</v>
      </c>
      <c r="G368" s="78">
        <v>19742.349999999999</v>
      </c>
      <c r="H368" s="27">
        <f t="shared" si="11"/>
        <v>-7.9919000673320927E-3</v>
      </c>
    </row>
    <row r="369" spans="2:8" x14ac:dyDescent="0.3">
      <c r="B369" s="132">
        <v>45191</v>
      </c>
      <c r="C369" s="78">
        <v>2472.6</v>
      </c>
      <c r="D369" s="27">
        <f t="shared" si="10"/>
        <v>3.6776346233468689E-3</v>
      </c>
      <c r="F369" s="77">
        <v>45191</v>
      </c>
      <c r="G369" s="78">
        <v>19674.25</v>
      </c>
      <c r="H369" s="27">
        <f t="shared" si="11"/>
        <v>-3.449437377009249E-3</v>
      </c>
    </row>
    <row r="370" spans="2:8" x14ac:dyDescent="0.3">
      <c r="B370" s="132">
        <v>45194</v>
      </c>
      <c r="C370" s="78">
        <v>2466.0300000000002</v>
      </c>
      <c r="D370" s="27">
        <f t="shared" si="10"/>
        <v>-2.6571220577528551E-3</v>
      </c>
      <c r="F370" s="77">
        <v>45194</v>
      </c>
      <c r="G370" s="78">
        <v>19674.55</v>
      </c>
      <c r="H370" s="27">
        <f t="shared" si="11"/>
        <v>1.5248357624777179E-5</v>
      </c>
    </row>
    <row r="371" spans="2:8" x14ac:dyDescent="0.3">
      <c r="B371" s="132">
        <v>45195</v>
      </c>
      <c r="C371" s="78">
        <v>2469.12</v>
      </c>
      <c r="D371" s="27">
        <f t="shared" si="10"/>
        <v>1.2530261189035374E-3</v>
      </c>
      <c r="F371" s="77">
        <v>45195</v>
      </c>
      <c r="G371" s="78">
        <v>19664.7</v>
      </c>
      <c r="H371" s="27">
        <f t="shared" si="11"/>
        <v>-5.0064677464026089E-4</v>
      </c>
    </row>
    <row r="372" spans="2:8" x14ac:dyDescent="0.3">
      <c r="B372" s="132">
        <v>45196</v>
      </c>
      <c r="C372" s="78">
        <v>2491.83</v>
      </c>
      <c r="D372" s="27">
        <f t="shared" si="10"/>
        <v>9.1976088646967494E-3</v>
      </c>
      <c r="F372" s="77">
        <v>45196</v>
      </c>
      <c r="G372" s="78">
        <v>19716.45</v>
      </c>
      <c r="H372" s="27">
        <f t="shared" si="11"/>
        <v>2.6316190941128009E-3</v>
      </c>
    </row>
    <row r="373" spans="2:8" x14ac:dyDescent="0.3">
      <c r="B373" s="132">
        <v>45197</v>
      </c>
      <c r="C373" s="78">
        <v>2450.59</v>
      </c>
      <c r="D373" s="27">
        <f t="shared" si="10"/>
        <v>-1.6550085680002161E-2</v>
      </c>
      <c r="F373" s="77">
        <v>45197</v>
      </c>
      <c r="G373" s="78">
        <v>19523.55</v>
      </c>
      <c r="H373" s="27">
        <f t="shared" si="11"/>
        <v>-9.7837085276508418E-3</v>
      </c>
    </row>
    <row r="374" spans="2:8" x14ac:dyDescent="0.3">
      <c r="B374" s="132">
        <v>45198</v>
      </c>
      <c r="C374" s="78">
        <v>2455.8200000000002</v>
      </c>
      <c r="D374" s="27">
        <f t="shared" si="10"/>
        <v>2.1341799321796047E-3</v>
      </c>
      <c r="F374" s="77">
        <v>45198</v>
      </c>
      <c r="G374" s="78">
        <v>19638.3</v>
      </c>
      <c r="H374" s="27">
        <f t="shared" si="11"/>
        <v>5.8775171523621477E-3</v>
      </c>
    </row>
    <row r="375" spans="2:8" x14ac:dyDescent="0.3">
      <c r="B375" s="132">
        <v>45202</v>
      </c>
      <c r="C375" s="78">
        <v>2459.11</v>
      </c>
      <c r="D375" s="27">
        <f t="shared" si="10"/>
        <v>1.3396747318614407E-3</v>
      </c>
      <c r="F375" s="77">
        <v>45202</v>
      </c>
      <c r="G375" s="78">
        <v>19528.75</v>
      </c>
      <c r="H375" s="27">
        <f t="shared" si="11"/>
        <v>-5.578385094432781E-3</v>
      </c>
    </row>
    <row r="376" spans="2:8" x14ac:dyDescent="0.3">
      <c r="B376" s="132">
        <v>45203</v>
      </c>
      <c r="C376" s="78">
        <v>2497.9</v>
      </c>
      <c r="D376" s="27">
        <f t="shared" si="10"/>
        <v>1.5773999536417633E-2</v>
      </c>
      <c r="F376" s="77">
        <v>45203</v>
      </c>
      <c r="G376" s="78">
        <v>19436.099999999999</v>
      </c>
      <c r="H376" s="27">
        <f t="shared" si="11"/>
        <v>-4.744287268770477E-3</v>
      </c>
    </row>
    <row r="377" spans="2:8" x14ac:dyDescent="0.3">
      <c r="B377" s="132">
        <v>45204</v>
      </c>
      <c r="C377" s="78">
        <v>2509.56</v>
      </c>
      <c r="D377" s="27">
        <f t="shared" si="10"/>
        <v>4.6679210536850367E-3</v>
      </c>
      <c r="F377" s="77">
        <v>45204</v>
      </c>
      <c r="G377" s="78">
        <v>19545.75</v>
      </c>
      <c r="H377" s="27">
        <f t="shared" si="11"/>
        <v>5.6415638939911542E-3</v>
      </c>
    </row>
    <row r="378" spans="2:8" x14ac:dyDescent="0.3">
      <c r="B378" s="132">
        <v>45205</v>
      </c>
      <c r="C378" s="78">
        <v>2489.4899999999998</v>
      </c>
      <c r="D378" s="27">
        <f t="shared" si="10"/>
        <v>-7.9974178740497004E-3</v>
      </c>
      <c r="F378" s="77">
        <v>45205</v>
      </c>
      <c r="G378" s="78">
        <v>19653.5</v>
      </c>
      <c r="H378" s="27">
        <f t="shared" si="11"/>
        <v>5.512707366051443E-3</v>
      </c>
    </row>
    <row r="379" spans="2:8" x14ac:dyDescent="0.3">
      <c r="B379" s="132">
        <v>45208</v>
      </c>
      <c r="C379" s="78">
        <v>2501.34</v>
      </c>
      <c r="D379" s="27">
        <f t="shared" si="10"/>
        <v>4.7600110866082472E-3</v>
      </c>
      <c r="F379" s="77">
        <v>45208</v>
      </c>
      <c r="G379" s="78">
        <v>19512.349999999999</v>
      </c>
      <c r="H379" s="27">
        <f t="shared" si="11"/>
        <v>-7.1819268832524208E-3</v>
      </c>
    </row>
    <row r="380" spans="2:8" x14ac:dyDescent="0.3">
      <c r="B380" s="132">
        <v>45209</v>
      </c>
      <c r="C380" s="78">
        <v>2506.2199999999998</v>
      </c>
      <c r="D380" s="27">
        <f t="shared" si="10"/>
        <v>1.950954288501225E-3</v>
      </c>
      <c r="F380" s="77">
        <v>45209</v>
      </c>
      <c r="G380" s="78">
        <v>19689.849999999999</v>
      </c>
      <c r="H380" s="27">
        <f t="shared" si="11"/>
        <v>9.0968027941278218E-3</v>
      </c>
    </row>
    <row r="381" spans="2:8" x14ac:dyDescent="0.3">
      <c r="B381" s="132">
        <v>45210</v>
      </c>
      <c r="C381" s="78">
        <v>2546.2600000000002</v>
      </c>
      <c r="D381" s="27">
        <f t="shared" si="10"/>
        <v>1.5976251087294977E-2</v>
      </c>
      <c r="F381" s="77">
        <v>45210</v>
      </c>
      <c r="G381" s="78">
        <v>19811.349999999999</v>
      </c>
      <c r="H381" s="27">
        <f t="shared" si="11"/>
        <v>6.1706920062875037E-3</v>
      </c>
    </row>
    <row r="382" spans="2:8" x14ac:dyDescent="0.3">
      <c r="B382" s="132">
        <v>45211</v>
      </c>
      <c r="C382" s="78">
        <v>2546.86</v>
      </c>
      <c r="D382" s="27">
        <f t="shared" si="10"/>
        <v>2.3563972257346422E-4</v>
      </c>
      <c r="F382" s="77">
        <v>45211</v>
      </c>
      <c r="G382" s="78">
        <v>19794</v>
      </c>
      <c r="H382" s="27">
        <f t="shared" si="11"/>
        <v>-8.7576061197235653E-4</v>
      </c>
    </row>
    <row r="383" spans="2:8" x14ac:dyDescent="0.3">
      <c r="B383" s="132">
        <v>45212</v>
      </c>
      <c r="C383" s="78">
        <v>2559.2600000000002</v>
      </c>
      <c r="D383" s="27">
        <f t="shared" si="10"/>
        <v>4.8687403312314345E-3</v>
      </c>
      <c r="F383" s="77">
        <v>45212</v>
      </c>
      <c r="G383" s="78">
        <v>19751.05</v>
      </c>
      <c r="H383" s="27">
        <f t="shared" si="11"/>
        <v>-2.1698494493281161E-3</v>
      </c>
    </row>
    <row r="384" spans="2:8" x14ac:dyDescent="0.3">
      <c r="B384" s="132">
        <v>45215</v>
      </c>
      <c r="C384" s="78">
        <v>2548.15</v>
      </c>
      <c r="D384" s="27">
        <f t="shared" si="10"/>
        <v>-4.3410985988137692E-3</v>
      </c>
      <c r="F384" s="77">
        <v>45215</v>
      </c>
      <c r="G384" s="78">
        <v>19731.75</v>
      </c>
      <c r="H384" s="27">
        <f t="shared" si="11"/>
        <v>-9.7716323942267751E-4</v>
      </c>
    </row>
    <row r="385" spans="2:8" x14ac:dyDescent="0.3">
      <c r="B385" s="132">
        <v>45216</v>
      </c>
      <c r="C385" s="78">
        <v>2546.0100000000002</v>
      </c>
      <c r="D385" s="27">
        <f t="shared" si="10"/>
        <v>-8.3982497105738378E-4</v>
      </c>
      <c r="F385" s="77">
        <v>45216</v>
      </c>
      <c r="G385" s="78">
        <v>19811.5</v>
      </c>
      <c r="H385" s="27">
        <f t="shared" si="11"/>
        <v>4.0417094276990126E-3</v>
      </c>
    </row>
    <row r="386" spans="2:8" x14ac:dyDescent="0.3">
      <c r="B386" s="132">
        <v>45217</v>
      </c>
      <c r="C386" s="78">
        <v>2538.14</v>
      </c>
      <c r="D386" s="27">
        <f t="shared" si="10"/>
        <v>-3.0911111896655334E-3</v>
      </c>
      <c r="F386" s="77">
        <v>45217</v>
      </c>
      <c r="G386" s="78">
        <v>19671.099999999999</v>
      </c>
      <c r="H386" s="27">
        <f t="shared" si="11"/>
        <v>-7.0867930242536634E-3</v>
      </c>
    </row>
    <row r="387" spans="2:8" x14ac:dyDescent="0.3">
      <c r="B387" s="132">
        <v>45218</v>
      </c>
      <c r="C387" s="78">
        <v>2537.9899999999998</v>
      </c>
      <c r="D387" s="27">
        <f t="shared" si="10"/>
        <v>-5.9098394887630688E-5</v>
      </c>
      <c r="F387" s="77">
        <v>45218</v>
      </c>
      <c r="G387" s="78">
        <v>19624.7</v>
      </c>
      <c r="H387" s="27">
        <f t="shared" si="11"/>
        <v>-2.3587903065917931E-3</v>
      </c>
    </row>
    <row r="388" spans="2:8" x14ac:dyDescent="0.3">
      <c r="B388" s="132">
        <v>45219</v>
      </c>
      <c r="C388" s="78">
        <v>2485.25</v>
      </c>
      <c r="D388" s="27">
        <f t="shared" si="10"/>
        <v>-2.0780223720345544E-2</v>
      </c>
      <c r="F388" s="77">
        <v>45219</v>
      </c>
      <c r="G388" s="78">
        <v>19542.650000000001</v>
      </c>
      <c r="H388" s="27">
        <f t="shared" si="11"/>
        <v>-4.1809556324427519E-3</v>
      </c>
    </row>
    <row r="389" spans="2:8" x14ac:dyDescent="0.3">
      <c r="B389" s="132">
        <v>45222</v>
      </c>
      <c r="C389" s="78">
        <v>2473.65</v>
      </c>
      <c r="D389" s="27">
        <f t="shared" ref="D389:D452" si="12">(C389-C388)/C388</f>
        <v>-4.6675384770143479E-3</v>
      </c>
      <c r="F389" s="77">
        <v>45222</v>
      </c>
      <c r="G389" s="78">
        <v>19281.75</v>
      </c>
      <c r="H389" s="27">
        <f t="shared" ref="H389:H452" si="13">(G389-G388)/G388</f>
        <v>-1.335028770407296E-2</v>
      </c>
    </row>
    <row r="390" spans="2:8" x14ac:dyDescent="0.3">
      <c r="B390" s="132">
        <v>45224</v>
      </c>
      <c r="C390" s="78">
        <v>2467.48</v>
      </c>
      <c r="D390" s="27">
        <f t="shared" si="12"/>
        <v>-2.4942898146464022E-3</v>
      </c>
      <c r="F390" s="77">
        <v>45224</v>
      </c>
      <c r="G390" s="78">
        <v>19122.150000000001</v>
      </c>
      <c r="H390" s="27">
        <f t="shared" si="13"/>
        <v>-8.2772569917148875E-3</v>
      </c>
    </row>
    <row r="391" spans="2:8" x14ac:dyDescent="0.3">
      <c r="B391" s="132">
        <v>45225</v>
      </c>
      <c r="C391" s="78">
        <v>2466.58</v>
      </c>
      <c r="D391" s="27">
        <f t="shared" si="12"/>
        <v>-3.6474459772727275E-4</v>
      </c>
      <c r="F391" s="77">
        <v>45225</v>
      </c>
      <c r="G391" s="78">
        <v>18857.25</v>
      </c>
      <c r="H391" s="27">
        <f t="shared" si="13"/>
        <v>-1.3853044767455618E-2</v>
      </c>
    </row>
    <row r="392" spans="2:8" x14ac:dyDescent="0.3">
      <c r="B392" s="132">
        <v>45226</v>
      </c>
      <c r="C392" s="78">
        <v>2472.21</v>
      </c>
      <c r="D392" s="27">
        <f t="shared" si="12"/>
        <v>2.282512628822138E-3</v>
      </c>
      <c r="F392" s="77">
        <v>45226</v>
      </c>
      <c r="G392" s="78">
        <v>19047.25</v>
      </c>
      <c r="H392" s="27">
        <f t="shared" si="13"/>
        <v>1.007570032746026E-2</v>
      </c>
    </row>
    <row r="393" spans="2:8" x14ac:dyDescent="0.3">
      <c r="B393" s="132">
        <v>45229</v>
      </c>
      <c r="C393" s="78">
        <v>2469.0700000000002</v>
      </c>
      <c r="D393" s="27">
        <f t="shared" si="12"/>
        <v>-1.2701186387887246E-3</v>
      </c>
      <c r="F393" s="77">
        <v>45229</v>
      </c>
      <c r="G393" s="78">
        <v>19140.900000000001</v>
      </c>
      <c r="H393" s="27">
        <f t="shared" si="13"/>
        <v>4.9167202614551417E-3</v>
      </c>
    </row>
    <row r="394" spans="2:8" x14ac:dyDescent="0.3">
      <c r="B394" s="132">
        <v>45230</v>
      </c>
      <c r="C394" s="78">
        <v>2474.15</v>
      </c>
      <c r="D394" s="27">
        <f t="shared" si="12"/>
        <v>2.0574548311712211E-3</v>
      </c>
      <c r="F394" s="77">
        <v>45230</v>
      </c>
      <c r="G394" s="78">
        <v>19079.599999999999</v>
      </c>
      <c r="H394" s="27">
        <f t="shared" si="13"/>
        <v>-3.2025662325179541E-3</v>
      </c>
    </row>
    <row r="395" spans="2:8" x14ac:dyDescent="0.3">
      <c r="B395" s="132">
        <v>45231</v>
      </c>
      <c r="C395" s="78">
        <v>2462.4499999999998</v>
      </c>
      <c r="D395" s="27">
        <f t="shared" si="12"/>
        <v>-4.7288967928380546E-3</v>
      </c>
      <c r="F395" s="77">
        <v>45231</v>
      </c>
      <c r="G395" s="78">
        <v>18989.150000000001</v>
      </c>
      <c r="H395" s="27">
        <f t="shared" si="13"/>
        <v>-4.7406654227550417E-3</v>
      </c>
    </row>
    <row r="396" spans="2:8" x14ac:dyDescent="0.3">
      <c r="B396" s="132">
        <v>45232</v>
      </c>
      <c r="C396" s="78">
        <v>2476.94</v>
      </c>
      <c r="D396" s="27">
        <f t="shared" si="12"/>
        <v>5.8843834392577465E-3</v>
      </c>
      <c r="F396" s="77">
        <v>45232</v>
      </c>
      <c r="G396" s="78">
        <v>19133.25</v>
      </c>
      <c r="H396" s="27">
        <f t="shared" si="13"/>
        <v>7.5885439843278151E-3</v>
      </c>
    </row>
    <row r="397" spans="2:8" x14ac:dyDescent="0.3">
      <c r="B397" s="132">
        <v>45233</v>
      </c>
      <c r="C397" s="78">
        <v>2499.3000000000002</v>
      </c>
      <c r="D397" s="27">
        <f t="shared" si="12"/>
        <v>9.0272675155636094E-3</v>
      </c>
      <c r="F397" s="77">
        <v>45233</v>
      </c>
      <c r="G397" s="78">
        <v>19230.599999999999</v>
      </c>
      <c r="H397" s="27">
        <f t="shared" si="13"/>
        <v>5.0880012543607876E-3</v>
      </c>
    </row>
    <row r="398" spans="2:8" x14ac:dyDescent="0.3">
      <c r="B398" s="132">
        <v>45236</v>
      </c>
      <c r="C398" s="78">
        <v>2487.5</v>
      </c>
      <c r="D398" s="27">
        <f t="shared" si="12"/>
        <v>-4.7213219701517147E-3</v>
      </c>
      <c r="F398" s="77">
        <v>45236</v>
      </c>
      <c r="G398" s="78">
        <v>19411.75</v>
      </c>
      <c r="H398" s="27">
        <f t="shared" si="13"/>
        <v>9.4198828949695525E-3</v>
      </c>
    </row>
    <row r="399" spans="2:8" x14ac:dyDescent="0.3">
      <c r="B399" s="132">
        <v>45237</v>
      </c>
      <c r="C399" s="78">
        <v>2486.5500000000002</v>
      </c>
      <c r="D399" s="27">
        <f t="shared" si="12"/>
        <v>-3.8190954773862035E-4</v>
      </c>
      <c r="F399" s="77">
        <v>45237</v>
      </c>
      <c r="G399" s="78">
        <v>19406.7</v>
      </c>
      <c r="H399" s="27">
        <f t="shared" si="13"/>
        <v>-2.6015171223610817E-4</v>
      </c>
    </row>
    <row r="400" spans="2:8" x14ac:dyDescent="0.3">
      <c r="B400" s="132">
        <v>45238</v>
      </c>
      <c r="C400" s="78">
        <v>2509.36</v>
      </c>
      <c r="D400" s="27">
        <f t="shared" si="12"/>
        <v>9.1733526371880498E-3</v>
      </c>
      <c r="F400" s="77">
        <v>45238</v>
      </c>
      <c r="G400" s="78">
        <v>19443.5</v>
      </c>
      <c r="H400" s="27">
        <f t="shared" si="13"/>
        <v>1.8962523252278477E-3</v>
      </c>
    </row>
    <row r="401" spans="2:8" x14ac:dyDescent="0.3">
      <c r="B401" s="132">
        <v>45239</v>
      </c>
      <c r="C401" s="78">
        <v>2466.88</v>
      </c>
      <c r="D401" s="27">
        <f t="shared" si="12"/>
        <v>-1.6928619249529767E-2</v>
      </c>
      <c r="F401" s="77">
        <v>45239</v>
      </c>
      <c r="G401" s="78">
        <v>19395.3</v>
      </c>
      <c r="H401" s="27">
        <f t="shared" si="13"/>
        <v>-2.4789775503381967E-3</v>
      </c>
    </row>
    <row r="402" spans="2:8" x14ac:dyDescent="0.3">
      <c r="B402" s="132">
        <v>45240</v>
      </c>
      <c r="C402" s="78">
        <v>2476.69</v>
      </c>
      <c r="D402" s="27">
        <f t="shared" si="12"/>
        <v>3.9766830976780167E-3</v>
      </c>
      <c r="F402" s="77">
        <v>45240</v>
      </c>
      <c r="G402" s="78">
        <v>19425.349999999999</v>
      </c>
      <c r="H402" s="27">
        <f t="shared" si="13"/>
        <v>1.5493444288048792E-3</v>
      </c>
    </row>
    <row r="403" spans="2:8" x14ac:dyDescent="0.3">
      <c r="B403" s="132">
        <v>45242</v>
      </c>
      <c r="C403" s="78">
        <v>2491.5500000000002</v>
      </c>
      <c r="D403" s="27">
        <f t="shared" si="12"/>
        <v>5.9999434729417602E-3</v>
      </c>
      <c r="F403" s="77">
        <v>45242</v>
      </c>
      <c r="G403" s="78">
        <v>19525.55</v>
      </c>
      <c r="H403" s="27">
        <f t="shared" si="13"/>
        <v>5.1582082176125903E-3</v>
      </c>
    </row>
    <row r="404" spans="2:8" x14ac:dyDescent="0.3">
      <c r="B404" s="132">
        <v>45243</v>
      </c>
      <c r="C404" s="78">
        <v>2468.3200000000002</v>
      </c>
      <c r="D404" s="27">
        <f t="shared" si="12"/>
        <v>-9.323513475547357E-3</v>
      </c>
      <c r="F404" s="77">
        <v>45243</v>
      </c>
      <c r="G404" s="78">
        <v>19443.55</v>
      </c>
      <c r="H404" s="27">
        <f t="shared" si="13"/>
        <v>-4.1996256187405738E-3</v>
      </c>
    </row>
    <row r="405" spans="2:8" x14ac:dyDescent="0.3">
      <c r="B405" s="132">
        <v>45245</v>
      </c>
      <c r="C405" s="78">
        <v>2476.54</v>
      </c>
      <c r="D405" s="27">
        <f t="shared" si="12"/>
        <v>3.330200298178437E-3</v>
      </c>
      <c r="F405" s="77">
        <v>45245</v>
      </c>
      <c r="G405" s="78">
        <v>19675.45</v>
      </c>
      <c r="H405" s="27">
        <f t="shared" si="13"/>
        <v>1.1926834348665828E-2</v>
      </c>
    </row>
    <row r="406" spans="2:8" x14ac:dyDescent="0.3">
      <c r="B406" s="132">
        <v>45246</v>
      </c>
      <c r="C406" s="78">
        <v>2481.3200000000002</v>
      </c>
      <c r="D406" s="27">
        <f t="shared" si="12"/>
        <v>1.9301121726280214E-3</v>
      </c>
      <c r="F406" s="77">
        <v>45246</v>
      </c>
      <c r="G406" s="78">
        <v>19765.2</v>
      </c>
      <c r="H406" s="27">
        <f t="shared" si="13"/>
        <v>4.5615220998757337E-3</v>
      </c>
    </row>
    <row r="407" spans="2:8" x14ac:dyDescent="0.3">
      <c r="B407" s="132">
        <v>45247</v>
      </c>
      <c r="C407" s="78">
        <v>2518.77</v>
      </c>
      <c r="D407" s="27">
        <f t="shared" si="12"/>
        <v>1.5092773201360491E-2</v>
      </c>
      <c r="F407" s="77">
        <v>45247</v>
      </c>
      <c r="G407" s="78">
        <v>19731.8</v>
      </c>
      <c r="H407" s="27">
        <f t="shared" si="13"/>
        <v>-1.6898387064133657E-3</v>
      </c>
    </row>
    <row r="408" spans="2:8" x14ac:dyDescent="0.3">
      <c r="B408" s="132">
        <v>45250</v>
      </c>
      <c r="C408" s="78">
        <v>2496.5100000000002</v>
      </c>
      <c r="D408" s="27">
        <f t="shared" si="12"/>
        <v>-8.8376469467239017E-3</v>
      </c>
      <c r="F408" s="77">
        <v>45250</v>
      </c>
      <c r="G408" s="78">
        <v>19694</v>
      </c>
      <c r="H408" s="27">
        <f t="shared" si="13"/>
        <v>-1.9156893947840173E-3</v>
      </c>
    </row>
    <row r="409" spans="2:8" x14ac:dyDescent="0.3">
      <c r="B409" s="132">
        <v>45251</v>
      </c>
      <c r="C409" s="78">
        <v>2495.31</v>
      </c>
      <c r="D409" s="27">
        <f t="shared" si="12"/>
        <v>-4.8067101673947743E-4</v>
      </c>
      <c r="F409" s="77">
        <v>45251</v>
      </c>
      <c r="G409" s="78">
        <v>19783.400000000001</v>
      </c>
      <c r="H409" s="27">
        <f t="shared" si="13"/>
        <v>4.5394536407028256E-3</v>
      </c>
    </row>
    <row r="410" spans="2:8" x14ac:dyDescent="0.3">
      <c r="B410" s="132">
        <v>45252</v>
      </c>
      <c r="C410" s="78">
        <v>2511.9</v>
      </c>
      <c r="D410" s="27">
        <f t="shared" si="12"/>
        <v>6.6484725344747326E-3</v>
      </c>
      <c r="F410" s="77">
        <v>45252</v>
      </c>
      <c r="G410" s="78">
        <v>19811.849999999999</v>
      </c>
      <c r="H410" s="27">
        <f t="shared" si="13"/>
        <v>1.4380743451579145E-3</v>
      </c>
    </row>
    <row r="411" spans="2:8" x14ac:dyDescent="0.3">
      <c r="B411" s="132">
        <v>45253</v>
      </c>
      <c r="C411" s="78">
        <v>2509.91</v>
      </c>
      <c r="D411" s="27">
        <f t="shared" si="12"/>
        <v>-7.9222899000765807E-4</v>
      </c>
      <c r="F411" s="77">
        <v>45253</v>
      </c>
      <c r="G411" s="78">
        <v>19802</v>
      </c>
      <c r="H411" s="27">
        <f t="shared" si="13"/>
        <v>-4.9717719445677947E-4</v>
      </c>
    </row>
    <row r="412" spans="2:8" x14ac:dyDescent="0.3">
      <c r="B412" s="132">
        <v>45254</v>
      </c>
      <c r="C412" s="78">
        <v>2505.23</v>
      </c>
      <c r="D412" s="27">
        <f t="shared" si="12"/>
        <v>-1.8646086911482231E-3</v>
      </c>
      <c r="F412" s="77">
        <v>45254</v>
      </c>
      <c r="G412" s="78">
        <v>19794.7</v>
      </c>
      <c r="H412" s="27">
        <f t="shared" si="13"/>
        <v>-3.6864963135033191E-4</v>
      </c>
    </row>
    <row r="413" spans="2:8" x14ac:dyDescent="0.3">
      <c r="B413" s="132">
        <v>45258</v>
      </c>
      <c r="C413" s="78">
        <v>2500.59</v>
      </c>
      <c r="D413" s="27">
        <f t="shared" si="12"/>
        <v>-1.8521253537598834E-3</v>
      </c>
      <c r="F413" s="77">
        <v>45258</v>
      </c>
      <c r="G413" s="78">
        <v>19889.7</v>
      </c>
      <c r="H413" s="27">
        <f t="shared" si="13"/>
        <v>4.7992644495748861E-3</v>
      </c>
    </row>
    <row r="414" spans="2:8" x14ac:dyDescent="0.3">
      <c r="B414" s="132">
        <v>45259</v>
      </c>
      <c r="C414" s="78">
        <v>2515.04</v>
      </c>
      <c r="D414" s="27">
        <f t="shared" si="12"/>
        <v>5.7786362418468509E-3</v>
      </c>
      <c r="F414" s="77">
        <v>45259</v>
      </c>
      <c r="G414" s="78">
        <v>20096.599999999999</v>
      </c>
      <c r="H414" s="27">
        <f t="shared" si="13"/>
        <v>1.0402369065395546E-2</v>
      </c>
    </row>
    <row r="415" spans="2:8" x14ac:dyDescent="0.3">
      <c r="B415" s="132">
        <v>45260</v>
      </c>
      <c r="C415" s="78">
        <v>2535.4499999999998</v>
      </c>
      <c r="D415" s="27">
        <f t="shared" si="12"/>
        <v>8.1151790826387866E-3</v>
      </c>
      <c r="F415" s="77">
        <v>45260</v>
      </c>
      <c r="G415" s="78">
        <v>20133.150000000001</v>
      </c>
      <c r="H415" s="27">
        <f t="shared" si="13"/>
        <v>1.8187156036345905E-3</v>
      </c>
    </row>
    <row r="416" spans="2:8" x14ac:dyDescent="0.3">
      <c r="B416" s="132">
        <v>45261</v>
      </c>
      <c r="C416" s="78">
        <v>2553.48</v>
      </c>
      <c r="D416" s="27">
        <f t="shared" si="12"/>
        <v>7.1111636987517806E-3</v>
      </c>
      <c r="F416" s="77">
        <v>45261</v>
      </c>
      <c r="G416" s="78">
        <v>20267.900000000001</v>
      </c>
      <c r="H416" s="27">
        <f t="shared" si="13"/>
        <v>6.6929417403635292E-3</v>
      </c>
    </row>
    <row r="417" spans="2:8" x14ac:dyDescent="0.3">
      <c r="B417" s="132">
        <v>45264</v>
      </c>
      <c r="C417" s="78">
        <v>2591.98</v>
      </c>
      <c r="D417" s="27">
        <f t="shared" si="12"/>
        <v>1.5077462913357457E-2</v>
      </c>
      <c r="F417" s="77">
        <v>45264</v>
      </c>
      <c r="G417" s="78">
        <v>20686.8</v>
      </c>
      <c r="H417" s="27">
        <f t="shared" si="13"/>
        <v>2.0668150129021644E-2</v>
      </c>
    </row>
    <row r="418" spans="2:8" x14ac:dyDescent="0.3">
      <c r="B418" s="132">
        <v>45265</v>
      </c>
      <c r="C418" s="78">
        <v>2553.08</v>
      </c>
      <c r="D418" s="27">
        <f t="shared" si="12"/>
        <v>-1.5007831850554437E-2</v>
      </c>
      <c r="F418" s="77">
        <v>45265</v>
      </c>
      <c r="G418" s="78">
        <v>20855.099999999999</v>
      </c>
      <c r="H418" s="27">
        <f t="shared" si="13"/>
        <v>8.1356227159347649E-3</v>
      </c>
    </row>
    <row r="419" spans="2:8" x14ac:dyDescent="0.3">
      <c r="B419" s="132">
        <v>45266</v>
      </c>
      <c r="C419" s="78">
        <v>2557.4699999999998</v>
      </c>
      <c r="D419" s="27">
        <f t="shared" si="12"/>
        <v>1.7194917511397499E-3</v>
      </c>
      <c r="F419" s="77">
        <v>45266</v>
      </c>
      <c r="G419" s="78">
        <v>20937.7</v>
      </c>
      <c r="H419" s="27">
        <f t="shared" si="13"/>
        <v>3.9606619004465184E-3</v>
      </c>
    </row>
    <row r="420" spans="2:8" x14ac:dyDescent="0.3">
      <c r="B420" s="132">
        <v>45267</v>
      </c>
      <c r="C420" s="78">
        <v>2508.2600000000002</v>
      </c>
      <c r="D420" s="27">
        <f t="shared" si="12"/>
        <v>-1.9241672434085085E-2</v>
      </c>
      <c r="F420" s="77">
        <v>45267</v>
      </c>
      <c r="G420" s="78">
        <v>20901.150000000001</v>
      </c>
      <c r="H420" s="27">
        <f t="shared" si="13"/>
        <v>-1.7456549668778934E-3</v>
      </c>
    </row>
    <row r="421" spans="2:8" x14ac:dyDescent="0.3">
      <c r="B421" s="132">
        <v>45268</v>
      </c>
      <c r="C421" s="78">
        <v>2512.3000000000002</v>
      </c>
      <c r="D421" s="27">
        <f t="shared" si="12"/>
        <v>1.6106783188345559E-3</v>
      </c>
      <c r="F421" s="77">
        <v>45268</v>
      </c>
      <c r="G421" s="78">
        <v>20969.400000000001</v>
      </c>
      <c r="H421" s="27">
        <f t="shared" si="13"/>
        <v>3.2653705657344212E-3</v>
      </c>
    </row>
    <row r="422" spans="2:8" x14ac:dyDescent="0.3">
      <c r="B422" s="132">
        <v>45271</v>
      </c>
      <c r="C422" s="78">
        <v>2493.7199999999998</v>
      </c>
      <c r="D422" s="27">
        <f t="shared" si="12"/>
        <v>-7.395613581180743E-3</v>
      </c>
      <c r="F422" s="77">
        <v>45271</v>
      </c>
      <c r="G422" s="78">
        <v>20997.1</v>
      </c>
      <c r="H422" s="27">
        <f t="shared" si="13"/>
        <v>1.3209724646388113E-3</v>
      </c>
    </row>
    <row r="423" spans="2:8" x14ac:dyDescent="0.3">
      <c r="B423" s="132">
        <v>45272</v>
      </c>
      <c r="C423" s="78">
        <v>2492.8200000000002</v>
      </c>
      <c r="D423" s="27">
        <f t="shared" si="12"/>
        <v>-3.6090659737245411E-4</v>
      </c>
      <c r="F423" s="77">
        <v>45272</v>
      </c>
      <c r="G423" s="78">
        <v>20906.400000000001</v>
      </c>
      <c r="H423" s="27">
        <f t="shared" si="13"/>
        <v>-4.3196441413336653E-3</v>
      </c>
    </row>
    <row r="424" spans="2:8" x14ac:dyDescent="0.3">
      <c r="B424" s="132">
        <v>45273</v>
      </c>
      <c r="C424" s="78">
        <v>2501.94</v>
      </c>
      <c r="D424" s="27">
        <f t="shared" si="12"/>
        <v>3.6585072327724785E-3</v>
      </c>
      <c r="F424" s="77">
        <v>45273</v>
      </c>
      <c r="G424" s="78">
        <v>20926.349999999999</v>
      </c>
      <c r="H424" s="27">
        <f t="shared" si="13"/>
        <v>9.5425324302591977E-4</v>
      </c>
    </row>
    <row r="425" spans="2:8" x14ac:dyDescent="0.3">
      <c r="B425" s="132">
        <v>45274</v>
      </c>
      <c r="C425" s="78">
        <v>2506.37</v>
      </c>
      <c r="D425" s="27">
        <f t="shared" si="12"/>
        <v>1.7706259942284132E-3</v>
      </c>
      <c r="F425" s="77">
        <v>45274</v>
      </c>
      <c r="G425" s="78">
        <v>21182.7</v>
      </c>
      <c r="H425" s="27">
        <f t="shared" si="13"/>
        <v>1.2250105727945973E-2</v>
      </c>
    </row>
    <row r="426" spans="2:8" x14ac:dyDescent="0.3">
      <c r="B426" s="132">
        <v>45275</v>
      </c>
      <c r="C426" s="78">
        <v>2512.89</v>
      </c>
      <c r="D426" s="27">
        <f t="shared" si="12"/>
        <v>2.601371704895918E-3</v>
      </c>
      <c r="F426" s="77">
        <v>45275</v>
      </c>
      <c r="G426" s="78">
        <v>21456.65</v>
      </c>
      <c r="H426" s="27">
        <f t="shared" si="13"/>
        <v>1.2932723401643828E-2</v>
      </c>
    </row>
    <row r="427" spans="2:8" x14ac:dyDescent="0.3">
      <c r="B427" s="132">
        <v>45278</v>
      </c>
      <c r="C427" s="78">
        <v>2525.44</v>
      </c>
      <c r="D427" s="27">
        <f t="shared" si="12"/>
        <v>4.9942496488108046E-3</v>
      </c>
      <c r="F427" s="77">
        <v>45278</v>
      </c>
      <c r="G427" s="78">
        <v>21418.65</v>
      </c>
      <c r="H427" s="27">
        <f t="shared" si="13"/>
        <v>-1.7710127163373592E-3</v>
      </c>
    </row>
    <row r="428" spans="2:8" x14ac:dyDescent="0.3">
      <c r="B428" s="132">
        <v>45279</v>
      </c>
      <c r="C428" s="78">
        <v>2550.54</v>
      </c>
      <c r="D428" s="27">
        <f t="shared" si="12"/>
        <v>9.9388621388747742E-3</v>
      </c>
      <c r="F428" s="77">
        <v>45279</v>
      </c>
      <c r="G428" s="78">
        <v>21453.1</v>
      </c>
      <c r="H428" s="27">
        <f t="shared" si="13"/>
        <v>1.6084113611267324E-3</v>
      </c>
    </row>
    <row r="429" spans="2:8" x14ac:dyDescent="0.3">
      <c r="B429" s="132">
        <v>45280</v>
      </c>
      <c r="C429" s="78">
        <v>2547.36</v>
      </c>
      <c r="D429" s="27">
        <f t="shared" si="12"/>
        <v>-1.2467947963959931E-3</v>
      </c>
      <c r="F429" s="77">
        <v>45280</v>
      </c>
      <c r="G429" s="78">
        <v>21150.15</v>
      </c>
      <c r="H429" s="27">
        <f t="shared" si="13"/>
        <v>-1.4121502253753401E-2</v>
      </c>
    </row>
    <row r="430" spans="2:8" x14ac:dyDescent="0.3">
      <c r="B430" s="132">
        <v>45281</v>
      </c>
      <c r="C430" s="78">
        <v>2543.0700000000002</v>
      </c>
      <c r="D430" s="27">
        <f t="shared" si="12"/>
        <v>-1.6840964763519737E-3</v>
      </c>
      <c r="F430" s="77">
        <v>45281</v>
      </c>
      <c r="G430" s="78">
        <v>21255.05</v>
      </c>
      <c r="H430" s="27">
        <f t="shared" si="13"/>
        <v>4.9597756989902108E-3</v>
      </c>
    </row>
    <row r="431" spans="2:8" x14ac:dyDescent="0.3">
      <c r="B431" s="132">
        <v>45282</v>
      </c>
      <c r="C431" s="78">
        <v>2565.39</v>
      </c>
      <c r="D431" s="27">
        <f t="shared" si="12"/>
        <v>8.7767934032487137E-3</v>
      </c>
      <c r="F431" s="77">
        <v>45282</v>
      </c>
      <c r="G431" s="78">
        <v>21349.4</v>
      </c>
      <c r="H431" s="27">
        <f t="shared" si="13"/>
        <v>4.4389450977533424E-3</v>
      </c>
    </row>
    <row r="432" spans="2:8" x14ac:dyDescent="0.3">
      <c r="B432" s="132">
        <v>45286</v>
      </c>
      <c r="C432" s="78">
        <v>2574.5</v>
      </c>
      <c r="D432" s="27">
        <f t="shared" si="12"/>
        <v>3.551116984162302E-3</v>
      </c>
      <c r="F432" s="77">
        <v>45286</v>
      </c>
      <c r="G432" s="78">
        <v>21441.35</v>
      </c>
      <c r="H432" s="27">
        <f t="shared" si="13"/>
        <v>4.3069126064431357E-3</v>
      </c>
    </row>
    <row r="433" spans="2:8" x14ac:dyDescent="0.3">
      <c r="B433" s="132">
        <v>45287</v>
      </c>
      <c r="C433" s="78">
        <v>2597.96</v>
      </c>
      <c r="D433" s="27">
        <f t="shared" si="12"/>
        <v>9.1124490192270487E-3</v>
      </c>
      <c r="F433" s="77">
        <v>45287</v>
      </c>
      <c r="G433" s="78">
        <v>21654.75</v>
      </c>
      <c r="H433" s="27">
        <f t="shared" si="13"/>
        <v>9.9527315211029848E-3</v>
      </c>
    </row>
    <row r="434" spans="2:8" x14ac:dyDescent="0.3">
      <c r="B434" s="132">
        <v>45288</v>
      </c>
      <c r="C434" s="78">
        <v>2623.35</v>
      </c>
      <c r="D434" s="27">
        <f t="shared" si="12"/>
        <v>9.7730527028899103E-3</v>
      </c>
      <c r="F434" s="77">
        <v>45288</v>
      </c>
      <c r="G434" s="78">
        <v>21778.7</v>
      </c>
      <c r="H434" s="27">
        <f t="shared" si="13"/>
        <v>5.7239173853311969E-3</v>
      </c>
    </row>
    <row r="435" spans="2:8" x14ac:dyDescent="0.3">
      <c r="B435" s="132">
        <v>45289</v>
      </c>
      <c r="C435" s="78">
        <v>2653.39</v>
      </c>
      <c r="D435" s="27">
        <f t="shared" si="12"/>
        <v>1.1451007299826545E-2</v>
      </c>
      <c r="F435" s="77">
        <v>45289</v>
      </c>
      <c r="G435" s="78">
        <v>21731.4</v>
      </c>
      <c r="H435" s="27">
        <f t="shared" si="13"/>
        <v>-2.1718468044465127E-3</v>
      </c>
    </row>
    <row r="436" spans="2:8" x14ac:dyDescent="0.3">
      <c r="B436" s="132">
        <v>45292</v>
      </c>
      <c r="C436" s="78">
        <v>2644.22</v>
      </c>
      <c r="D436" s="27">
        <f t="shared" si="12"/>
        <v>-3.4559563426409512E-3</v>
      </c>
      <c r="F436" s="77">
        <v>45292</v>
      </c>
      <c r="G436" s="78">
        <v>21741.9</v>
      </c>
      <c r="H436" s="27">
        <f t="shared" si="13"/>
        <v>4.8317181589773318E-4</v>
      </c>
    </row>
    <row r="437" spans="2:8" x14ac:dyDescent="0.3">
      <c r="B437" s="132">
        <v>45293</v>
      </c>
      <c r="C437" s="78">
        <v>2603.4299999999998</v>
      </c>
      <c r="D437" s="27">
        <f t="shared" si="12"/>
        <v>-1.5426099189931234E-2</v>
      </c>
      <c r="F437" s="77">
        <v>45293</v>
      </c>
      <c r="G437" s="78">
        <v>21665.8</v>
      </c>
      <c r="H437" s="27">
        <f t="shared" si="13"/>
        <v>-3.5001540803702609E-3</v>
      </c>
    </row>
    <row r="438" spans="2:8" x14ac:dyDescent="0.3">
      <c r="B438" s="132">
        <v>45294</v>
      </c>
      <c r="C438" s="78">
        <v>2596.21</v>
      </c>
      <c r="D438" s="27">
        <f t="shared" si="12"/>
        <v>-2.7732645010619837E-3</v>
      </c>
      <c r="F438" s="77">
        <v>45294</v>
      </c>
      <c r="G438" s="78">
        <v>21517.35</v>
      </c>
      <c r="H438" s="27">
        <f t="shared" si="13"/>
        <v>-6.8518125340398571E-3</v>
      </c>
    </row>
    <row r="439" spans="2:8" x14ac:dyDescent="0.3">
      <c r="B439" s="132">
        <v>45295</v>
      </c>
      <c r="C439" s="78">
        <v>2582.27</v>
      </c>
      <c r="D439" s="27">
        <f t="shared" si="12"/>
        <v>-5.3693653440977634E-3</v>
      </c>
      <c r="F439" s="77">
        <v>45295</v>
      </c>
      <c r="G439" s="78">
        <v>21658.6</v>
      </c>
      <c r="H439" s="27">
        <f t="shared" si="13"/>
        <v>6.5644700671783473E-3</v>
      </c>
    </row>
    <row r="440" spans="2:8" x14ac:dyDescent="0.3">
      <c r="B440" s="132">
        <v>45296</v>
      </c>
      <c r="C440" s="78">
        <v>2609.66</v>
      </c>
      <c r="D440" s="27">
        <f t="shared" si="12"/>
        <v>1.060694660124614E-2</v>
      </c>
      <c r="F440" s="77">
        <v>45296</v>
      </c>
      <c r="G440" s="78">
        <v>21710.799999999999</v>
      </c>
      <c r="H440" s="27">
        <f t="shared" si="13"/>
        <v>2.4101280784538581E-3</v>
      </c>
    </row>
    <row r="441" spans="2:8" x14ac:dyDescent="0.3">
      <c r="B441" s="132">
        <v>45299</v>
      </c>
      <c r="C441" s="78">
        <v>2568.02</v>
      </c>
      <c r="D441" s="27">
        <f t="shared" si="12"/>
        <v>-1.5956101561122857E-2</v>
      </c>
      <c r="F441" s="77">
        <v>45299</v>
      </c>
      <c r="G441" s="78">
        <v>21513</v>
      </c>
      <c r="H441" s="27">
        <f t="shared" si="13"/>
        <v>-9.1106730290914789E-3</v>
      </c>
    </row>
    <row r="442" spans="2:8" x14ac:dyDescent="0.3">
      <c r="B442" s="132">
        <v>45300</v>
      </c>
      <c r="C442" s="78">
        <v>2569.52</v>
      </c>
      <c r="D442" s="27">
        <f t="shared" si="12"/>
        <v>5.8410760040809656E-4</v>
      </c>
      <c r="F442" s="77">
        <v>45300</v>
      </c>
      <c r="G442" s="78">
        <v>21544.85</v>
      </c>
      <c r="H442" s="27">
        <f t="shared" si="13"/>
        <v>1.4805001626922579E-3</v>
      </c>
    </row>
    <row r="443" spans="2:8" x14ac:dyDescent="0.3">
      <c r="B443" s="132">
        <v>45301</v>
      </c>
      <c r="C443" s="78">
        <v>2567.1799999999998</v>
      </c>
      <c r="D443" s="27">
        <f t="shared" si="12"/>
        <v>-9.1067592390802388E-4</v>
      </c>
      <c r="F443" s="77">
        <v>45301</v>
      </c>
      <c r="G443" s="78">
        <v>21618.7</v>
      </c>
      <c r="H443" s="27">
        <f t="shared" si="13"/>
        <v>3.4277333098166004E-3</v>
      </c>
    </row>
    <row r="444" spans="2:8" x14ac:dyDescent="0.3">
      <c r="B444" s="132">
        <v>45302</v>
      </c>
      <c r="C444" s="78">
        <v>2526.14</v>
      </c>
      <c r="D444" s="27">
        <f t="shared" si="12"/>
        <v>-1.5986413106988978E-2</v>
      </c>
      <c r="F444" s="77">
        <v>45302</v>
      </c>
      <c r="G444" s="78">
        <v>21647.200000000001</v>
      </c>
      <c r="H444" s="27">
        <f t="shared" si="13"/>
        <v>1.3183031357112129E-3</v>
      </c>
    </row>
    <row r="445" spans="2:8" x14ac:dyDescent="0.3">
      <c r="B445" s="132">
        <v>45303</v>
      </c>
      <c r="C445" s="78">
        <v>2533.91</v>
      </c>
      <c r="D445" s="27">
        <f t="shared" si="12"/>
        <v>3.0758390271322976E-3</v>
      </c>
      <c r="F445" s="77">
        <v>45303</v>
      </c>
      <c r="G445" s="78">
        <v>21894.55</v>
      </c>
      <c r="H445" s="27">
        <f t="shared" si="13"/>
        <v>1.1426420045086596E-2</v>
      </c>
    </row>
    <row r="446" spans="2:8" x14ac:dyDescent="0.3">
      <c r="B446" s="132">
        <v>45306</v>
      </c>
      <c r="C446" s="78">
        <v>2563</v>
      </c>
      <c r="D446" s="27">
        <f t="shared" si="12"/>
        <v>1.1480281462246151E-2</v>
      </c>
      <c r="F446" s="77">
        <v>45306</v>
      </c>
      <c r="G446" s="78">
        <v>22097.45</v>
      </c>
      <c r="H446" s="27">
        <f t="shared" si="13"/>
        <v>9.2671463903118111E-3</v>
      </c>
    </row>
    <row r="447" spans="2:8" x14ac:dyDescent="0.3">
      <c r="B447" s="132">
        <v>45307</v>
      </c>
      <c r="C447" s="78">
        <v>2558.91</v>
      </c>
      <c r="D447" s="27">
        <f t="shared" si="12"/>
        <v>-1.595786188060923E-3</v>
      </c>
      <c r="F447" s="77">
        <v>45307</v>
      </c>
      <c r="G447" s="78">
        <v>22032.3</v>
      </c>
      <c r="H447" s="27">
        <f t="shared" si="13"/>
        <v>-2.9483039898269463E-3</v>
      </c>
    </row>
    <row r="448" spans="2:8" x14ac:dyDescent="0.3">
      <c r="B448" s="132">
        <v>45308</v>
      </c>
      <c r="C448" s="78">
        <v>2552.7399999999998</v>
      </c>
      <c r="D448" s="27">
        <f t="shared" si="12"/>
        <v>-2.4111828864634057E-3</v>
      </c>
      <c r="F448" s="77">
        <v>45308</v>
      </c>
      <c r="G448" s="78">
        <v>21571.95</v>
      </c>
      <c r="H448" s="27">
        <f t="shared" si="13"/>
        <v>-2.0894323334377189E-2</v>
      </c>
    </row>
    <row r="449" spans="2:8" x14ac:dyDescent="0.3">
      <c r="B449" s="132">
        <v>45309</v>
      </c>
      <c r="C449" s="78">
        <v>2537.9</v>
      </c>
      <c r="D449" s="27">
        <f t="shared" si="12"/>
        <v>-5.8133613293949605E-3</v>
      </c>
      <c r="F449" s="77">
        <v>45309</v>
      </c>
      <c r="G449" s="78">
        <v>21462.25</v>
      </c>
      <c r="H449" s="27">
        <f t="shared" si="13"/>
        <v>-5.0853075405793511E-3</v>
      </c>
    </row>
    <row r="450" spans="2:8" x14ac:dyDescent="0.3">
      <c r="B450" s="132">
        <v>45310</v>
      </c>
      <c r="C450" s="78">
        <v>2555.23</v>
      </c>
      <c r="D450" s="27">
        <f t="shared" si="12"/>
        <v>6.8284802395681176E-3</v>
      </c>
      <c r="F450" s="77">
        <v>45310</v>
      </c>
      <c r="G450" s="78">
        <v>21622.400000000001</v>
      </c>
      <c r="H450" s="27">
        <f t="shared" si="13"/>
        <v>7.4619389858939043E-3</v>
      </c>
    </row>
    <row r="451" spans="2:8" x14ac:dyDescent="0.3">
      <c r="B451" s="132">
        <v>45311</v>
      </c>
      <c r="C451" s="78">
        <v>2468.9</v>
      </c>
      <c r="D451" s="27">
        <f t="shared" si="12"/>
        <v>-3.3785608340540743E-2</v>
      </c>
      <c r="F451" s="77">
        <v>45311</v>
      </c>
      <c r="G451" s="78">
        <v>21571.8</v>
      </c>
      <c r="H451" s="27">
        <f t="shared" si="13"/>
        <v>-2.3401657540329558E-3</v>
      </c>
    </row>
    <row r="452" spans="2:8" x14ac:dyDescent="0.3">
      <c r="B452" s="132">
        <v>45314</v>
      </c>
      <c r="C452" s="78">
        <v>2366.13</v>
      </c>
      <c r="D452" s="27">
        <f t="shared" si="12"/>
        <v>-4.1625825266312921E-2</v>
      </c>
      <c r="F452" s="77">
        <v>45314</v>
      </c>
      <c r="G452" s="78">
        <v>21238.799999999999</v>
      </c>
      <c r="H452" s="27">
        <f t="shared" si="13"/>
        <v>-1.5436820293160515E-2</v>
      </c>
    </row>
    <row r="453" spans="2:8" x14ac:dyDescent="0.3">
      <c r="B453" s="132">
        <v>45315</v>
      </c>
      <c r="C453" s="78">
        <v>2431.9699999999998</v>
      </c>
      <c r="D453" s="27">
        <f t="shared" ref="D453:D516" si="14">(C453-C452)/C452</f>
        <v>2.7826028155680242E-2</v>
      </c>
      <c r="F453" s="77">
        <v>45315</v>
      </c>
      <c r="G453" s="78">
        <v>21453.95</v>
      </c>
      <c r="H453" s="27">
        <f t="shared" ref="H453:H516" si="15">(G453-G452)/G452</f>
        <v>1.0130045011959313E-2</v>
      </c>
    </row>
    <row r="454" spans="2:8" x14ac:dyDescent="0.3">
      <c r="B454" s="132">
        <v>45316</v>
      </c>
      <c r="C454" s="78">
        <v>2418.67</v>
      </c>
      <c r="D454" s="27">
        <f t="shared" si="14"/>
        <v>-5.4688174607415915E-3</v>
      </c>
      <c r="F454" s="77">
        <v>45316</v>
      </c>
      <c r="G454" s="78">
        <v>21352.6</v>
      </c>
      <c r="H454" s="27">
        <f t="shared" si="15"/>
        <v>-4.7240717909756563E-3</v>
      </c>
    </row>
    <row r="455" spans="2:8" x14ac:dyDescent="0.3">
      <c r="B455" s="132">
        <v>45320</v>
      </c>
      <c r="C455" s="78">
        <v>2434.71</v>
      </c>
      <c r="D455" s="27">
        <f t="shared" si="14"/>
        <v>6.6317438923044333E-3</v>
      </c>
      <c r="F455" s="77">
        <v>45320</v>
      </c>
      <c r="G455" s="78">
        <v>21737.599999999999</v>
      </c>
      <c r="H455" s="27">
        <f t="shared" si="15"/>
        <v>1.8030591122392591E-2</v>
      </c>
    </row>
    <row r="456" spans="2:8" x14ac:dyDescent="0.3">
      <c r="B456" s="132">
        <v>45321</v>
      </c>
      <c r="C456" s="78">
        <v>2448.9</v>
      </c>
      <c r="D456" s="27">
        <f t="shared" si="14"/>
        <v>5.8282095198196309E-3</v>
      </c>
      <c r="F456" s="77">
        <v>45321</v>
      </c>
      <c r="G456" s="78">
        <v>21522.1</v>
      </c>
      <c r="H456" s="27">
        <f t="shared" si="15"/>
        <v>-9.9136979243338742E-3</v>
      </c>
    </row>
    <row r="457" spans="2:8" x14ac:dyDescent="0.3">
      <c r="B457" s="132">
        <v>45322</v>
      </c>
      <c r="C457" s="78">
        <v>2471.71</v>
      </c>
      <c r="D457" s="27">
        <f t="shared" si="14"/>
        <v>9.3143860508799643E-3</v>
      </c>
      <c r="F457" s="77">
        <v>45322</v>
      </c>
      <c r="G457" s="78">
        <v>21725.7</v>
      </c>
      <c r="H457" s="27">
        <f t="shared" si="15"/>
        <v>9.460043397252229E-3</v>
      </c>
    </row>
    <row r="458" spans="2:8" x14ac:dyDescent="0.3">
      <c r="B458" s="132">
        <v>45323</v>
      </c>
      <c r="C458" s="78">
        <v>2463.79</v>
      </c>
      <c r="D458" s="27">
        <f t="shared" si="14"/>
        <v>-3.2042593993632231E-3</v>
      </c>
      <c r="F458" s="77">
        <v>45323</v>
      </c>
      <c r="G458" s="78">
        <v>21697.45</v>
      </c>
      <c r="H458" s="27">
        <f t="shared" si="15"/>
        <v>-1.3003033273956651E-3</v>
      </c>
    </row>
    <row r="459" spans="2:8" x14ac:dyDescent="0.3">
      <c r="B459" s="132">
        <v>45324</v>
      </c>
      <c r="C459" s="78">
        <v>2442.87</v>
      </c>
      <c r="D459" s="27">
        <f t="shared" si="14"/>
        <v>-8.4909834036180337E-3</v>
      </c>
      <c r="F459" s="77">
        <v>45324</v>
      </c>
      <c r="G459" s="78">
        <v>21853.8</v>
      </c>
      <c r="H459" s="27">
        <f t="shared" si="15"/>
        <v>7.2059159025599107E-3</v>
      </c>
    </row>
    <row r="460" spans="2:8" x14ac:dyDescent="0.3">
      <c r="B460" s="132">
        <v>45327</v>
      </c>
      <c r="C460" s="78">
        <v>2409.9</v>
      </c>
      <c r="D460" s="27">
        <f t="shared" si="14"/>
        <v>-1.3496420194279598E-2</v>
      </c>
      <c r="F460" s="77">
        <v>45327</v>
      </c>
      <c r="G460" s="78">
        <v>21771.7</v>
      </c>
      <c r="H460" s="27">
        <f t="shared" si="15"/>
        <v>-3.7567837172481923E-3</v>
      </c>
    </row>
    <row r="461" spans="2:8" x14ac:dyDescent="0.3">
      <c r="B461" s="132">
        <v>45328</v>
      </c>
      <c r="C461" s="78">
        <v>2416.73</v>
      </c>
      <c r="D461" s="27">
        <f t="shared" si="14"/>
        <v>2.8341424955392039E-3</v>
      </c>
      <c r="F461" s="77">
        <v>45328</v>
      </c>
      <c r="G461" s="78">
        <v>21929.4</v>
      </c>
      <c r="H461" s="27">
        <f t="shared" si="15"/>
        <v>7.2433480160024582E-3</v>
      </c>
    </row>
    <row r="462" spans="2:8" x14ac:dyDescent="0.3">
      <c r="B462" s="132">
        <v>45329</v>
      </c>
      <c r="C462" s="78">
        <v>2415.83</v>
      </c>
      <c r="D462" s="27">
        <f t="shared" si="14"/>
        <v>-3.7240403354950324E-4</v>
      </c>
      <c r="F462" s="77">
        <v>45329</v>
      </c>
      <c r="G462" s="78">
        <v>21930.5</v>
      </c>
      <c r="H462" s="27">
        <f t="shared" si="15"/>
        <v>5.016097111633445E-5</v>
      </c>
    </row>
    <row r="463" spans="2:8" x14ac:dyDescent="0.3">
      <c r="B463" s="132">
        <v>45330</v>
      </c>
      <c r="C463" s="78">
        <v>2407.46</v>
      </c>
      <c r="D463" s="27">
        <f t="shared" si="14"/>
        <v>-3.4646477608109389E-3</v>
      </c>
      <c r="F463" s="77">
        <v>45330</v>
      </c>
      <c r="G463" s="78">
        <v>21717.95</v>
      </c>
      <c r="H463" s="27">
        <f t="shared" si="15"/>
        <v>-9.6919814869701679E-3</v>
      </c>
    </row>
    <row r="464" spans="2:8" x14ac:dyDescent="0.3">
      <c r="B464" s="132">
        <v>45331</v>
      </c>
      <c r="C464" s="78">
        <v>2414.54</v>
      </c>
      <c r="D464" s="27">
        <f t="shared" si="14"/>
        <v>2.9408588304685964E-3</v>
      </c>
      <c r="F464" s="77">
        <v>45331</v>
      </c>
      <c r="G464" s="78">
        <v>21782.5</v>
      </c>
      <c r="H464" s="27">
        <f t="shared" si="15"/>
        <v>2.9721958103780177E-3</v>
      </c>
    </row>
    <row r="465" spans="2:8" x14ac:dyDescent="0.3">
      <c r="B465" s="132">
        <v>45334</v>
      </c>
      <c r="C465" s="78">
        <v>2376.19</v>
      </c>
      <c r="D465" s="27">
        <f t="shared" si="14"/>
        <v>-1.588294250664719E-2</v>
      </c>
      <c r="F465" s="77">
        <v>45334</v>
      </c>
      <c r="G465" s="78">
        <v>21616.05</v>
      </c>
      <c r="H465" s="27">
        <f t="shared" si="15"/>
        <v>-7.6414552966831504E-3</v>
      </c>
    </row>
    <row r="466" spans="2:8" x14ac:dyDescent="0.3">
      <c r="B466" s="132">
        <v>45335</v>
      </c>
      <c r="C466" s="78">
        <v>2384.5</v>
      </c>
      <c r="D466" s="27">
        <f t="shared" si="14"/>
        <v>3.4971950896182315E-3</v>
      </c>
      <c r="F466" s="77">
        <v>45335</v>
      </c>
      <c r="G466" s="78">
        <v>21743.25</v>
      </c>
      <c r="H466" s="27">
        <f t="shared" si="15"/>
        <v>5.8845163663111778E-3</v>
      </c>
    </row>
    <row r="467" spans="2:8" x14ac:dyDescent="0.3">
      <c r="B467" s="132">
        <v>45336</v>
      </c>
      <c r="C467" s="78">
        <v>2378.48</v>
      </c>
      <c r="D467" s="27">
        <f t="shared" si="14"/>
        <v>-2.5246382889494577E-3</v>
      </c>
      <c r="F467" s="77">
        <v>45336</v>
      </c>
      <c r="G467" s="78">
        <v>21840.05</v>
      </c>
      <c r="H467" s="27">
        <f t="shared" si="15"/>
        <v>4.4519563542708323E-3</v>
      </c>
    </row>
    <row r="468" spans="2:8" x14ac:dyDescent="0.3">
      <c r="B468" s="132">
        <v>45337</v>
      </c>
      <c r="C468" s="78">
        <v>2341.5300000000002</v>
      </c>
      <c r="D468" s="27">
        <f t="shared" si="14"/>
        <v>-1.5535131680737202E-2</v>
      </c>
      <c r="F468" s="77">
        <v>45337</v>
      </c>
      <c r="G468" s="78">
        <v>21910.75</v>
      </c>
      <c r="H468" s="27">
        <f t="shared" si="15"/>
        <v>3.2371720760712877E-3</v>
      </c>
    </row>
    <row r="469" spans="2:8" x14ac:dyDescent="0.3">
      <c r="B469" s="132">
        <v>45338</v>
      </c>
      <c r="C469" s="78">
        <v>2365.83</v>
      </c>
      <c r="D469" s="27">
        <f t="shared" si="14"/>
        <v>1.0377829880462658E-2</v>
      </c>
      <c r="F469" s="77">
        <v>45338</v>
      </c>
      <c r="G469" s="78">
        <v>22040.7</v>
      </c>
      <c r="H469" s="27">
        <f t="shared" si="15"/>
        <v>5.9308786782743964E-3</v>
      </c>
    </row>
    <row r="470" spans="2:8" x14ac:dyDescent="0.3">
      <c r="B470" s="132">
        <v>45341</v>
      </c>
      <c r="C470" s="78">
        <v>2377.6799999999998</v>
      </c>
      <c r="D470" s="27">
        <f t="shared" si="14"/>
        <v>5.0088129747276472E-3</v>
      </c>
      <c r="F470" s="77">
        <v>45341</v>
      </c>
      <c r="G470" s="78">
        <v>22122.25</v>
      </c>
      <c r="H470" s="27">
        <f t="shared" si="15"/>
        <v>3.6999732313401693E-3</v>
      </c>
    </row>
    <row r="471" spans="2:8" x14ac:dyDescent="0.3">
      <c r="B471" s="132">
        <v>45342</v>
      </c>
      <c r="C471" s="78">
        <v>2394.56</v>
      </c>
      <c r="D471" s="27">
        <f t="shared" si="14"/>
        <v>7.0993573567511648E-3</v>
      </c>
      <c r="F471" s="77">
        <v>45342</v>
      </c>
      <c r="G471" s="78">
        <v>22196.95</v>
      </c>
      <c r="H471" s="27">
        <f t="shared" si="15"/>
        <v>3.376690888133021E-3</v>
      </c>
    </row>
    <row r="472" spans="2:8" x14ac:dyDescent="0.3">
      <c r="B472" s="132">
        <v>45343</v>
      </c>
      <c r="C472" s="78">
        <v>2397.5500000000002</v>
      </c>
      <c r="D472" s="27">
        <f t="shared" si="14"/>
        <v>1.24866363757861E-3</v>
      </c>
      <c r="F472" s="77">
        <v>45343</v>
      </c>
      <c r="G472" s="78">
        <v>22055.05</v>
      </c>
      <c r="H472" s="27">
        <f t="shared" si="15"/>
        <v>-6.3927701778848647E-3</v>
      </c>
    </row>
    <row r="473" spans="2:8" x14ac:dyDescent="0.3">
      <c r="B473" s="132">
        <v>45344</v>
      </c>
      <c r="C473" s="78">
        <v>2378.63</v>
      </c>
      <c r="D473" s="27">
        <f t="shared" si="14"/>
        <v>-7.8913891263998961E-3</v>
      </c>
      <c r="F473" s="77">
        <v>45344</v>
      </c>
      <c r="G473" s="78">
        <v>22217.45</v>
      </c>
      <c r="H473" s="27">
        <f t="shared" si="15"/>
        <v>7.3633929644231801E-3</v>
      </c>
    </row>
    <row r="474" spans="2:8" x14ac:dyDescent="0.3">
      <c r="B474" s="132">
        <v>45345</v>
      </c>
      <c r="C474" s="78">
        <v>2384.6</v>
      </c>
      <c r="D474" s="27">
        <f t="shared" si="14"/>
        <v>2.5098481058423543E-3</v>
      </c>
      <c r="F474" s="77">
        <v>45345</v>
      </c>
      <c r="G474" s="78">
        <v>22212.7</v>
      </c>
      <c r="H474" s="27">
        <f t="shared" si="15"/>
        <v>-2.1379591267224637E-4</v>
      </c>
    </row>
    <row r="475" spans="2:8" x14ac:dyDescent="0.3">
      <c r="B475" s="132">
        <v>45348</v>
      </c>
      <c r="C475" s="78">
        <v>2394.7199999999998</v>
      </c>
      <c r="D475" s="27">
        <f t="shared" si="14"/>
        <v>4.2438983477312304E-3</v>
      </c>
      <c r="F475" s="77">
        <v>45348</v>
      </c>
      <c r="G475" s="78">
        <v>22122.05</v>
      </c>
      <c r="H475" s="27">
        <f t="shared" si="15"/>
        <v>-4.08099870794642E-3</v>
      </c>
    </row>
    <row r="476" spans="2:8" x14ac:dyDescent="0.3">
      <c r="B476" s="132">
        <v>45349</v>
      </c>
      <c r="C476" s="78">
        <v>2395.7600000000002</v>
      </c>
      <c r="D476" s="27">
        <f t="shared" si="14"/>
        <v>4.3428876862448157E-4</v>
      </c>
      <c r="F476" s="77">
        <v>45349</v>
      </c>
      <c r="G476" s="78">
        <v>22198.35</v>
      </c>
      <c r="H476" s="27">
        <f t="shared" si="15"/>
        <v>3.449047443613918E-3</v>
      </c>
    </row>
    <row r="477" spans="2:8" x14ac:dyDescent="0.3">
      <c r="B477" s="132">
        <v>45350</v>
      </c>
      <c r="C477" s="78">
        <v>2411.9499999999998</v>
      </c>
      <c r="D477" s="27">
        <f t="shared" si="14"/>
        <v>6.7577720639795296E-3</v>
      </c>
      <c r="F477" s="77">
        <v>45350</v>
      </c>
      <c r="G477" s="78">
        <v>21951.15</v>
      </c>
      <c r="H477" s="27">
        <f t="shared" si="15"/>
        <v>-1.1135962808046414E-2</v>
      </c>
    </row>
    <row r="478" spans="2:8" x14ac:dyDescent="0.3">
      <c r="B478" s="132">
        <v>45351</v>
      </c>
      <c r="C478" s="78">
        <v>2402.73</v>
      </c>
      <c r="D478" s="27">
        <f t="shared" si="14"/>
        <v>-3.8226331391611767E-3</v>
      </c>
      <c r="F478" s="77">
        <v>45351</v>
      </c>
      <c r="G478" s="78">
        <v>21982.799999999999</v>
      </c>
      <c r="H478" s="27">
        <f t="shared" si="15"/>
        <v>1.4418378991532478E-3</v>
      </c>
    </row>
    <row r="479" spans="2:8" x14ac:dyDescent="0.3">
      <c r="B479" s="132">
        <v>45352</v>
      </c>
      <c r="C479" s="78">
        <v>2400.14</v>
      </c>
      <c r="D479" s="27">
        <f t="shared" si="14"/>
        <v>-1.077940509337356E-3</v>
      </c>
      <c r="F479" s="77">
        <v>45352</v>
      </c>
      <c r="G479" s="78">
        <v>22338.75</v>
      </c>
      <c r="H479" s="27">
        <f t="shared" si="15"/>
        <v>1.6192204814673324E-2</v>
      </c>
    </row>
    <row r="480" spans="2:8" x14ac:dyDescent="0.3">
      <c r="B480" s="132">
        <v>45353</v>
      </c>
      <c r="C480" s="78">
        <v>2416.1999999999998</v>
      </c>
      <c r="D480" s="27">
        <f t="shared" si="14"/>
        <v>6.6912763422133483E-3</v>
      </c>
      <c r="F480" s="77">
        <v>45353</v>
      </c>
      <c r="G480" s="78">
        <v>22378.400000000001</v>
      </c>
      <c r="H480" s="27">
        <f t="shared" si="15"/>
        <v>1.7749426445079271E-3</v>
      </c>
    </row>
    <row r="481" spans="2:8" x14ac:dyDescent="0.3">
      <c r="B481" s="132">
        <v>45355</v>
      </c>
      <c r="C481" s="78">
        <v>2412.39</v>
      </c>
      <c r="D481" s="27">
        <f t="shared" si="14"/>
        <v>-1.5768562205115246E-3</v>
      </c>
      <c r="F481" s="77">
        <v>45355</v>
      </c>
      <c r="G481" s="78">
        <v>22405.599999999999</v>
      </c>
      <c r="H481" s="27">
        <f t="shared" si="15"/>
        <v>1.215457762842611E-3</v>
      </c>
    </row>
    <row r="482" spans="2:8" x14ac:dyDescent="0.3">
      <c r="B482" s="132">
        <v>45356</v>
      </c>
      <c r="C482" s="78">
        <v>2390.33</v>
      </c>
      <c r="D482" s="27">
        <f t="shared" si="14"/>
        <v>-9.1444584001757374E-3</v>
      </c>
      <c r="F482" s="77">
        <v>45356</v>
      </c>
      <c r="G482" s="78">
        <v>22356.3</v>
      </c>
      <c r="H482" s="27">
        <f t="shared" si="15"/>
        <v>-2.2003427714499622E-3</v>
      </c>
    </row>
    <row r="483" spans="2:8" x14ac:dyDescent="0.3">
      <c r="B483" s="132">
        <v>45357</v>
      </c>
      <c r="C483" s="78">
        <v>2391.2800000000002</v>
      </c>
      <c r="D483" s="27">
        <f t="shared" si="14"/>
        <v>3.974346638331414E-4</v>
      </c>
      <c r="F483" s="77">
        <v>45357</v>
      </c>
      <c r="G483" s="78">
        <v>22474.05</v>
      </c>
      <c r="H483" s="27">
        <f t="shared" si="15"/>
        <v>5.2669717260906326E-3</v>
      </c>
    </row>
    <row r="484" spans="2:8" x14ac:dyDescent="0.3">
      <c r="B484" s="132">
        <v>45358</v>
      </c>
      <c r="C484" s="78">
        <v>2409.9499999999998</v>
      </c>
      <c r="D484" s="27">
        <f t="shared" si="14"/>
        <v>7.8075340403464324E-3</v>
      </c>
      <c r="F484" s="77">
        <v>45358</v>
      </c>
      <c r="G484" s="78">
        <v>22493.55</v>
      </c>
      <c r="H484" s="27">
        <f t="shared" si="15"/>
        <v>8.6766737637408481E-4</v>
      </c>
    </row>
    <row r="485" spans="2:8" x14ac:dyDescent="0.3">
      <c r="B485" s="132">
        <v>45362</v>
      </c>
      <c r="C485" s="78">
        <v>2380.37</v>
      </c>
      <c r="D485" s="27">
        <f t="shared" si="14"/>
        <v>-1.2274113570820942E-2</v>
      </c>
      <c r="F485" s="77">
        <v>45362</v>
      </c>
      <c r="G485" s="78">
        <v>22332.65</v>
      </c>
      <c r="H485" s="27">
        <f t="shared" si="15"/>
        <v>-7.1531616841271307E-3</v>
      </c>
    </row>
    <row r="486" spans="2:8" x14ac:dyDescent="0.3">
      <c r="B486" s="132">
        <v>45363</v>
      </c>
      <c r="C486" s="78">
        <v>2368.7199999999998</v>
      </c>
      <c r="D486" s="27">
        <f t="shared" si="14"/>
        <v>-4.8941971206157408E-3</v>
      </c>
      <c r="F486" s="77">
        <v>45363</v>
      </c>
      <c r="G486" s="78">
        <v>22335.7</v>
      </c>
      <c r="H486" s="27">
        <f t="shared" si="15"/>
        <v>1.3657134285448758E-4</v>
      </c>
    </row>
    <row r="487" spans="2:8" x14ac:dyDescent="0.3">
      <c r="B487" s="132">
        <v>45364</v>
      </c>
      <c r="C487" s="78">
        <v>2303.4299999999998</v>
      </c>
      <c r="D487" s="27">
        <f t="shared" si="14"/>
        <v>-2.7563409774055171E-2</v>
      </c>
      <c r="F487" s="77">
        <v>45364</v>
      </c>
      <c r="G487" s="78">
        <v>21997.7</v>
      </c>
      <c r="H487" s="27">
        <f t="shared" si="15"/>
        <v>-1.5132724741109523E-2</v>
      </c>
    </row>
    <row r="488" spans="2:8" x14ac:dyDescent="0.3">
      <c r="B488" s="132">
        <v>45365</v>
      </c>
      <c r="C488" s="78">
        <v>2325.34</v>
      </c>
      <c r="D488" s="27">
        <f t="shared" si="14"/>
        <v>9.5119018159875966E-3</v>
      </c>
      <c r="F488" s="77">
        <v>45365</v>
      </c>
      <c r="G488" s="78">
        <v>22146.65</v>
      </c>
      <c r="H488" s="27">
        <f t="shared" si="15"/>
        <v>6.7711624397096392E-3</v>
      </c>
    </row>
    <row r="489" spans="2:8" x14ac:dyDescent="0.3">
      <c r="B489" s="132">
        <v>45366</v>
      </c>
      <c r="C489" s="78">
        <v>2318.4699999999998</v>
      </c>
      <c r="D489" s="27">
        <f t="shared" si="14"/>
        <v>-2.9544066674122259E-3</v>
      </c>
      <c r="F489" s="77">
        <v>45366</v>
      </c>
      <c r="G489" s="78">
        <v>22023.35</v>
      </c>
      <c r="H489" s="27">
        <f t="shared" si="15"/>
        <v>-5.5674334493028476E-3</v>
      </c>
    </row>
    <row r="490" spans="2:8" x14ac:dyDescent="0.3">
      <c r="B490" s="132">
        <v>45369</v>
      </c>
      <c r="C490" s="78">
        <v>2290.83</v>
      </c>
      <c r="D490" s="27">
        <f t="shared" si="14"/>
        <v>-1.1921655229526314E-2</v>
      </c>
      <c r="F490" s="77">
        <v>45369</v>
      </c>
      <c r="G490" s="78">
        <v>22055.7</v>
      </c>
      <c r="H490" s="27">
        <f t="shared" si="15"/>
        <v>1.468895513171347E-3</v>
      </c>
    </row>
    <row r="491" spans="2:8" x14ac:dyDescent="0.3">
      <c r="B491" s="132">
        <v>45370</v>
      </c>
      <c r="C491" s="78">
        <v>2257.96</v>
      </c>
      <c r="D491" s="27">
        <f t="shared" si="14"/>
        <v>-1.4348511238284766E-2</v>
      </c>
      <c r="F491" s="77">
        <v>45370</v>
      </c>
      <c r="G491" s="78">
        <v>21817.45</v>
      </c>
      <c r="H491" s="27">
        <f t="shared" si="15"/>
        <v>-1.080219625765675E-2</v>
      </c>
    </row>
    <row r="492" spans="2:8" x14ac:dyDescent="0.3">
      <c r="B492" s="132">
        <v>45371</v>
      </c>
      <c r="C492" s="78">
        <v>2233.06</v>
      </c>
      <c r="D492" s="27">
        <f t="shared" si="14"/>
        <v>-1.1027653279951855E-2</v>
      </c>
      <c r="F492" s="77">
        <v>45371</v>
      </c>
      <c r="G492" s="78">
        <v>21839.1</v>
      </c>
      <c r="H492" s="27">
        <f t="shared" si="15"/>
        <v>9.9232495089929458E-4</v>
      </c>
    </row>
    <row r="493" spans="2:8" x14ac:dyDescent="0.3">
      <c r="B493" s="132">
        <v>45372</v>
      </c>
      <c r="C493" s="78">
        <v>2233.46</v>
      </c>
      <c r="D493" s="27">
        <f t="shared" si="14"/>
        <v>1.7912640054458499E-4</v>
      </c>
      <c r="F493" s="77">
        <v>45372</v>
      </c>
      <c r="G493" s="78">
        <v>22011.95</v>
      </c>
      <c r="H493" s="27">
        <f t="shared" si="15"/>
        <v>7.9147034447391244E-3</v>
      </c>
    </row>
    <row r="494" spans="2:8" x14ac:dyDescent="0.3">
      <c r="B494" s="132">
        <v>45373</v>
      </c>
      <c r="C494" s="78">
        <v>2247.6</v>
      </c>
      <c r="D494" s="27">
        <f t="shared" si="14"/>
        <v>6.3309842128356332E-3</v>
      </c>
      <c r="F494" s="77">
        <v>45373</v>
      </c>
      <c r="G494" s="78">
        <v>22096.75</v>
      </c>
      <c r="H494" s="27">
        <f t="shared" si="15"/>
        <v>3.8524528721898457E-3</v>
      </c>
    </row>
    <row r="495" spans="2:8" x14ac:dyDescent="0.3">
      <c r="B495" s="132">
        <v>45377</v>
      </c>
      <c r="C495" s="78">
        <v>2231.12</v>
      </c>
      <c r="D495" s="27">
        <f t="shared" si="14"/>
        <v>-7.3322655276739715E-3</v>
      </c>
      <c r="F495" s="77">
        <v>45377</v>
      </c>
      <c r="G495" s="78">
        <v>22004.7</v>
      </c>
      <c r="H495" s="27">
        <f t="shared" si="15"/>
        <v>-4.1657709844207533E-3</v>
      </c>
    </row>
    <row r="496" spans="2:8" x14ac:dyDescent="0.3">
      <c r="B496" s="132">
        <v>45378</v>
      </c>
      <c r="C496" s="78">
        <v>2230.8200000000002</v>
      </c>
      <c r="D496" s="27">
        <f t="shared" si="14"/>
        <v>-1.3446161569065186E-4</v>
      </c>
      <c r="F496" s="77">
        <v>45378</v>
      </c>
      <c r="G496" s="78">
        <v>22123.65</v>
      </c>
      <c r="H496" s="27">
        <f t="shared" si="15"/>
        <v>5.4056633355601636E-3</v>
      </c>
    </row>
    <row r="497" spans="2:8" x14ac:dyDescent="0.3">
      <c r="B497" s="132">
        <v>45379</v>
      </c>
      <c r="C497" s="78">
        <v>2255.37</v>
      </c>
      <c r="D497" s="27">
        <f t="shared" si="14"/>
        <v>1.1004921956948443E-2</v>
      </c>
      <c r="F497" s="77">
        <v>45379</v>
      </c>
      <c r="G497" s="78">
        <v>22326.9</v>
      </c>
      <c r="H497" s="27">
        <f t="shared" si="15"/>
        <v>9.1870012407536724E-3</v>
      </c>
    </row>
    <row r="498" spans="2:8" x14ac:dyDescent="0.3">
      <c r="B498" s="132">
        <v>45383</v>
      </c>
      <c r="C498" s="78">
        <v>2276.83</v>
      </c>
      <c r="D498" s="27">
        <f t="shared" si="14"/>
        <v>9.5150684810031329E-3</v>
      </c>
      <c r="F498" s="77">
        <v>45383</v>
      </c>
      <c r="G498" s="78">
        <v>22462</v>
      </c>
      <c r="H498" s="27">
        <f t="shared" si="15"/>
        <v>6.0509967796693017E-3</v>
      </c>
    </row>
    <row r="499" spans="2:8" x14ac:dyDescent="0.3">
      <c r="B499" s="132">
        <v>45384</v>
      </c>
      <c r="C499" s="78">
        <v>2277.63</v>
      </c>
      <c r="D499" s="27">
        <f t="shared" si="14"/>
        <v>3.5136571461206236E-4</v>
      </c>
      <c r="F499" s="77">
        <v>45384</v>
      </c>
      <c r="G499" s="78">
        <v>22453.3</v>
      </c>
      <c r="H499" s="27">
        <f t="shared" si="15"/>
        <v>-3.8732080847657055E-4</v>
      </c>
    </row>
    <row r="500" spans="2:8" x14ac:dyDescent="0.3">
      <c r="B500" s="132">
        <v>45385</v>
      </c>
      <c r="C500" s="78">
        <v>2256.2199999999998</v>
      </c>
      <c r="D500" s="27">
        <f t="shared" si="14"/>
        <v>-9.4001220566994233E-3</v>
      </c>
      <c r="F500" s="77">
        <v>45385</v>
      </c>
      <c r="G500" s="78">
        <v>22434.65</v>
      </c>
      <c r="H500" s="27">
        <f t="shared" si="15"/>
        <v>-8.3061287204989106E-4</v>
      </c>
    </row>
    <row r="501" spans="2:8" x14ac:dyDescent="0.3">
      <c r="B501" s="132">
        <v>45386</v>
      </c>
      <c r="C501" s="78">
        <v>2255.9699999999998</v>
      </c>
      <c r="D501" s="27">
        <f t="shared" si="14"/>
        <v>-1.1080479740450844E-4</v>
      </c>
      <c r="F501" s="77">
        <v>45386</v>
      </c>
      <c r="G501" s="78">
        <v>22514.65</v>
      </c>
      <c r="H501" s="27">
        <f t="shared" si="15"/>
        <v>3.5659125504520907E-3</v>
      </c>
    </row>
    <row r="502" spans="2:8" x14ac:dyDescent="0.3">
      <c r="B502" s="132">
        <v>45387</v>
      </c>
      <c r="C502" s="78">
        <v>2257.96</v>
      </c>
      <c r="D502" s="27">
        <f t="shared" si="14"/>
        <v>8.8210392868709984E-4</v>
      </c>
      <c r="F502" s="77">
        <v>45387</v>
      </c>
      <c r="G502" s="78">
        <v>22513.7</v>
      </c>
      <c r="H502" s="27">
        <f t="shared" si="15"/>
        <v>-4.2194748752511256E-5</v>
      </c>
    </row>
    <row r="503" spans="2:8" x14ac:dyDescent="0.3">
      <c r="B503" s="132">
        <v>45390</v>
      </c>
      <c r="C503" s="78">
        <v>2259.9499999999998</v>
      </c>
      <c r="D503" s="27">
        <f t="shared" si="14"/>
        <v>8.8132650711251819E-4</v>
      </c>
      <c r="F503" s="77">
        <v>45390</v>
      </c>
      <c r="G503" s="78">
        <v>22666.3</v>
      </c>
      <c r="H503" s="27">
        <f t="shared" si="15"/>
        <v>6.7780951154185467E-3</v>
      </c>
    </row>
    <row r="504" spans="2:8" x14ac:dyDescent="0.3">
      <c r="B504" s="132">
        <v>45391</v>
      </c>
      <c r="C504" s="78">
        <v>2255.17</v>
      </c>
      <c r="D504" s="27">
        <f t="shared" si="14"/>
        <v>-2.1150910418370962E-3</v>
      </c>
      <c r="F504" s="77">
        <v>45391</v>
      </c>
      <c r="G504" s="78">
        <v>22642.75</v>
      </c>
      <c r="H504" s="27">
        <f t="shared" si="15"/>
        <v>-1.0389873953843051E-3</v>
      </c>
    </row>
    <row r="505" spans="2:8" x14ac:dyDescent="0.3">
      <c r="B505" s="132">
        <v>45392</v>
      </c>
      <c r="C505" s="78">
        <v>2251.9299999999998</v>
      </c>
      <c r="D505" s="27">
        <f t="shared" si="14"/>
        <v>-1.4366987854575203E-3</v>
      </c>
      <c r="F505" s="77">
        <v>45392</v>
      </c>
      <c r="G505" s="78">
        <v>22753.8</v>
      </c>
      <c r="H505" s="27">
        <f t="shared" si="15"/>
        <v>4.9044396109129531E-3</v>
      </c>
    </row>
    <row r="506" spans="2:8" x14ac:dyDescent="0.3">
      <c r="B506" s="132">
        <v>45394</v>
      </c>
      <c r="C506" s="78">
        <v>2223.4499999999998</v>
      </c>
      <c r="D506" s="27">
        <f t="shared" si="14"/>
        <v>-1.2646929522676114E-2</v>
      </c>
      <c r="F506" s="77">
        <v>45394</v>
      </c>
      <c r="G506" s="78">
        <v>22519.4</v>
      </c>
      <c r="H506" s="27">
        <f t="shared" si="15"/>
        <v>-1.030157600049213E-2</v>
      </c>
    </row>
    <row r="507" spans="2:8" x14ac:dyDescent="0.3">
      <c r="B507" s="132">
        <v>45397</v>
      </c>
      <c r="C507" s="78">
        <v>2185.35</v>
      </c>
      <c r="D507" s="27">
        <f t="shared" si="14"/>
        <v>-1.7135532618228391E-2</v>
      </c>
      <c r="F507" s="77">
        <v>45397</v>
      </c>
      <c r="G507" s="78">
        <v>22272.5</v>
      </c>
      <c r="H507" s="27">
        <f t="shared" si="15"/>
        <v>-1.0963880032327745E-2</v>
      </c>
    </row>
    <row r="508" spans="2:8" x14ac:dyDescent="0.3">
      <c r="B508" s="132">
        <v>45398</v>
      </c>
      <c r="C508" s="78">
        <v>2211.9899999999998</v>
      </c>
      <c r="D508" s="27">
        <f t="shared" si="14"/>
        <v>1.2190267005285136E-2</v>
      </c>
      <c r="F508" s="77">
        <v>45398</v>
      </c>
      <c r="G508" s="78">
        <v>22147.9</v>
      </c>
      <c r="H508" s="27">
        <f t="shared" si="15"/>
        <v>-5.594342799416255E-3</v>
      </c>
    </row>
    <row r="509" spans="2:8" x14ac:dyDescent="0.3">
      <c r="B509" s="132">
        <v>45400</v>
      </c>
      <c r="C509" s="78">
        <v>2206.02</v>
      </c>
      <c r="D509" s="27">
        <f t="shared" si="14"/>
        <v>-2.6989272103399202E-3</v>
      </c>
      <c r="F509" s="77">
        <v>45400</v>
      </c>
      <c r="G509" s="78">
        <v>21995.85</v>
      </c>
      <c r="H509" s="27">
        <f t="shared" si="15"/>
        <v>-6.865210697176838E-3</v>
      </c>
    </row>
    <row r="510" spans="2:8" x14ac:dyDescent="0.3">
      <c r="B510" s="132">
        <v>45401</v>
      </c>
      <c r="C510" s="78">
        <v>2222.75</v>
      </c>
      <c r="D510" s="27">
        <f t="shared" si="14"/>
        <v>7.5837934379561463E-3</v>
      </c>
      <c r="F510" s="77">
        <v>45401</v>
      </c>
      <c r="G510" s="78">
        <v>22147</v>
      </c>
      <c r="H510" s="27">
        <f t="shared" si="15"/>
        <v>6.8717508075387618E-3</v>
      </c>
    </row>
    <row r="511" spans="2:8" x14ac:dyDescent="0.3">
      <c r="B511" s="132">
        <v>45404</v>
      </c>
      <c r="C511" s="78">
        <v>2232.61</v>
      </c>
      <c r="D511" s="27">
        <f t="shared" si="14"/>
        <v>4.4359464627151627E-3</v>
      </c>
      <c r="F511" s="77">
        <v>45404</v>
      </c>
      <c r="G511" s="78">
        <v>22336.400000000001</v>
      </c>
      <c r="H511" s="27">
        <f t="shared" si="15"/>
        <v>8.5519483451483927E-3</v>
      </c>
    </row>
    <row r="512" spans="2:8" x14ac:dyDescent="0.3">
      <c r="B512" s="132">
        <v>45405</v>
      </c>
      <c r="C512" s="78">
        <v>2253.7800000000002</v>
      </c>
      <c r="D512" s="27">
        <f t="shared" si="14"/>
        <v>9.4821755702966803E-3</v>
      </c>
      <c r="F512" s="77">
        <v>45405</v>
      </c>
      <c r="G512" s="78">
        <v>22368</v>
      </c>
      <c r="H512" s="27">
        <f t="shared" si="15"/>
        <v>1.4147311115487967E-3</v>
      </c>
    </row>
    <row r="513" spans="2:8" x14ac:dyDescent="0.3">
      <c r="B513" s="132">
        <v>45406</v>
      </c>
      <c r="C513" s="78">
        <v>2251.29</v>
      </c>
      <c r="D513" s="27">
        <f t="shared" si="14"/>
        <v>-1.1048105848841662E-3</v>
      </c>
      <c r="F513" s="77">
        <v>45406</v>
      </c>
      <c r="G513" s="78">
        <v>22402.400000000001</v>
      </c>
      <c r="H513" s="27">
        <f t="shared" si="15"/>
        <v>1.5379113018598647E-3</v>
      </c>
    </row>
    <row r="514" spans="2:8" x14ac:dyDescent="0.3">
      <c r="B514" s="132">
        <v>45407</v>
      </c>
      <c r="C514" s="78">
        <v>2222</v>
      </c>
      <c r="D514" s="27">
        <f t="shared" si="14"/>
        <v>-1.3010318528488095E-2</v>
      </c>
      <c r="F514" s="77">
        <v>45407</v>
      </c>
      <c r="G514" s="78">
        <v>22570.35</v>
      </c>
      <c r="H514" s="27">
        <f t="shared" si="15"/>
        <v>7.4969646109344125E-3</v>
      </c>
    </row>
    <row r="515" spans="2:8" x14ac:dyDescent="0.3">
      <c r="B515" s="132">
        <v>45408</v>
      </c>
      <c r="C515" s="78">
        <v>2213.83</v>
      </c>
      <c r="D515" s="27">
        <f t="shared" si="14"/>
        <v>-3.6768676867687095E-3</v>
      </c>
      <c r="F515" s="77">
        <v>45408</v>
      </c>
      <c r="G515" s="78">
        <v>22419.95</v>
      </c>
      <c r="H515" s="27">
        <f t="shared" si="15"/>
        <v>-6.663609558557923E-3</v>
      </c>
    </row>
    <row r="516" spans="2:8" x14ac:dyDescent="0.3">
      <c r="B516" s="132">
        <v>45411</v>
      </c>
      <c r="C516" s="78">
        <v>2217.27</v>
      </c>
      <c r="D516" s="27">
        <f t="shared" si="14"/>
        <v>1.5538681831938563E-3</v>
      </c>
      <c r="F516" s="77">
        <v>45411</v>
      </c>
      <c r="G516" s="78">
        <v>22643.4</v>
      </c>
      <c r="H516" s="27">
        <f t="shared" si="15"/>
        <v>9.9665699522077759E-3</v>
      </c>
    </row>
    <row r="517" spans="2:8" x14ac:dyDescent="0.3">
      <c r="B517" s="132">
        <v>45412</v>
      </c>
      <c r="C517" s="78">
        <v>2221.6</v>
      </c>
      <c r="D517" s="27">
        <f t="shared" ref="D517:D580" si="16">(C517-C516)/C516</f>
        <v>1.9528519305271471E-3</v>
      </c>
      <c r="F517" s="77">
        <v>45412</v>
      </c>
      <c r="G517" s="78">
        <v>22604.85</v>
      </c>
      <c r="H517" s="27">
        <f t="shared" ref="H517:H580" si="17">(G517-G516)/G516</f>
        <v>-1.7024828426827645E-3</v>
      </c>
    </row>
    <row r="518" spans="2:8" x14ac:dyDescent="0.3">
      <c r="B518" s="132">
        <v>45414</v>
      </c>
      <c r="C518" s="78">
        <v>2217.4699999999998</v>
      </c>
      <c r="D518" s="27">
        <f t="shared" si="16"/>
        <v>-1.8590205257472585E-3</v>
      </c>
      <c r="F518" s="77">
        <v>45414</v>
      </c>
      <c r="G518" s="78">
        <v>22648.2</v>
      </c>
      <c r="H518" s="27">
        <f t="shared" si="17"/>
        <v>1.9177300446586545E-3</v>
      </c>
    </row>
    <row r="519" spans="2:8" x14ac:dyDescent="0.3">
      <c r="B519" s="132">
        <v>45415</v>
      </c>
      <c r="C519" s="78">
        <v>2208.2600000000002</v>
      </c>
      <c r="D519" s="27">
        <f t="shared" si="16"/>
        <v>-4.1533820074226855E-3</v>
      </c>
      <c r="F519" s="77">
        <v>45415</v>
      </c>
      <c r="G519" s="78">
        <v>22475.85</v>
      </c>
      <c r="H519" s="27">
        <f t="shared" si="17"/>
        <v>-7.6098762815588958E-3</v>
      </c>
    </row>
    <row r="520" spans="2:8" x14ac:dyDescent="0.3">
      <c r="B520" s="132">
        <v>45418</v>
      </c>
      <c r="C520" s="78">
        <v>2247.25</v>
      </c>
      <c r="D520" s="27">
        <f t="shared" si="16"/>
        <v>1.765643538351452E-2</v>
      </c>
      <c r="F520" s="77">
        <v>45418</v>
      </c>
      <c r="G520" s="78">
        <v>22442.7</v>
      </c>
      <c r="H520" s="27">
        <f t="shared" si="17"/>
        <v>-1.4749164102802706E-3</v>
      </c>
    </row>
    <row r="521" spans="2:8" x14ac:dyDescent="0.3">
      <c r="B521" s="132">
        <v>45419</v>
      </c>
      <c r="C521" s="78">
        <v>2369.96</v>
      </c>
      <c r="D521" s="27">
        <f t="shared" si="16"/>
        <v>5.4604516631438442E-2</v>
      </c>
      <c r="F521" s="77">
        <v>45419</v>
      </c>
      <c r="G521" s="78">
        <v>22302.5</v>
      </c>
      <c r="H521" s="27">
        <f t="shared" si="17"/>
        <v>-6.2470201891929545E-3</v>
      </c>
    </row>
    <row r="522" spans="2:8" x14ac:dyDescent="0.3">
      <c r="B522" s="132">
        <v>45420</v>
      </c>
      <c r="C522" s="78">
        <v>2331.7600000000002</v>
      </c>
      <c r="D522" s="27">
        <f t="shared" si="16"/>
        <v>-1.6118415500683478E-2</v>
      </c>
      <c r="F522" s="77">
        <v>45420</v>
      </c>
      <c r="G522" s="78">
        <v>22302.5</v>
      </c>
      <c r="H522" s="27">
        <f t="shared" si="17"/>
        <v>0</v>
      </c>
    </row>
    <row r="523" spans="2:8" x14ac:dyDescent="0.3">
      <c r="B523" s="132">
        <v>45421</v>
      </c>
      <c r="C523" s="78">
        <v>2316.4299999999998</v>
      </c>
      <c r="D523" s="27">
        <f t="shared" si="16"/>
        <v>-6.5744330462827998E-3</v>
      </c>
      <c r="F523" s="77">
        <v>45421</v>
      </c>
      <c r="G523" s="78">
        <v>21957.5</v>
      </c>
      <c r="H523" s="27">
        <f t="shared" si="17"/>
        <v>-1.5469117811904494E-2</v>
      </c>
    </row>
    <row r="524" spans="2:8" x14ac:dyDescent="0.3">
      <c r="B524" s="132">
        <v>45422</v>
      </c>
      <c r="C524" s="78">
        <v>2353.1799999999998</v>
      </c>
      <c r="D524" s="27">
        <f t="shared" si="16"/>
        <v>1.5864930086382928E-2</v>
      </c>
      <c r="F524" s="77">
        <v>45422</v>
      </c>
      <c r="G524" s="78">
        <v>22055.200000000001</v>
      </c>
      <c r="H524" s="27">
        <f t="shared" si="17"/>
        <v>4.4495047250370364E-3</v>
      </c>
    </row>
    <row r="525" spans="2:8" x14ac:dyDescent="0.3">
      <c r="B525" s="132">
        <v>45425</v>
      </c>
      <c r="C525" s="78">
        <v>2351.29</v>
      </c>
      <c r="D525" s="27">
        <f t="shared" si="16"/>
        <v>-8.031684783993884E-4</v>
      </c>
      <c r="F525" s="77">
        <v>45425</v>
      </c>
      <c r="G525" s="78">
        <v>22104.05</v>
      </c>
      <c r="H525" s="27">
        <f t="shared" si="17"/>
        <v>2.2148971671079177E-3</v>
      </c>
    </row>
    <row r="526" spans="2:8" x14ac:dyDescent="0.3">
      <c r="B526" s="132">
        <v>45426</v>
      </c>
      <c r="C526" s="78">
        <v>2340.2800000000002</v>
      </c>
      <c r="D526" s="27">
        <f t="shared" si="16"/>
        <v>-4.6825359696165778E-3</v>
      </c>
      <c r="F526" s="77">
        <v>45426</v>
      </c>
      <c r="G526" s="78">
        <v>22217.85</v>
      </c>
      <c r="H526" s="27">
        <f t="shared" si="17"/>
        <v>5.1483777859713167E-3</v>
      </c>
    </row>
    <row r="527" spans="2:8" x14ac:dyDescent="0.3">
      <c r="B527" s="132">
        <v>45427</v>
      </c>
      <c r="C527" s="78">
        <v>2314.09</v>
      </c>
      <c r="D527" s="27">
        <f t="shared" si="16"/>
        <v>-1.119096860204764E-2</v>
      </c>
      <c r="F527" s="77">
        <v>45427</v>
      </c>
      <c r="G527" s="78">
        <v>22200.55</v>
      </c>
      <c r="H527" s="27">
        <f t="shared" si="17"/>
        <v>-7.7865320001707064E-4</v>
      </c>
    </row>
    <row r="528" spans="2:8" x14ac:dyDescent="0.3">
      <c r="B528" s="132">
        <v>45428</v>
      </c>
      <c r="C528" s="78">
        <v>2333.86</v>
      </c>
      <c r="D528" s="27">
        <f t="shared" si="16"/>
        <v>8.5433150828187233E-3</v>
      </c>
      <c r="F528" s="77">
        <v>45428</v>
      </c>
      <c r="G528" s="78">
        <v>22403.85</v>
      </c>
      <c r="H528" s="27">
        <f t="shared" si="17"/>
        <v>9.1574307843724275E-3</v>
      </c>
    </row>
    <row r="529" spans="2:8" x14ac:dyDescent="0.3">
      <c r="B529" s="132">
        <v>45429</v>
      </c>
      <c r="C529" s="78">
        <v>2311.15</v>
      </c>
      <c r="D529" s="27">
        <f t="shared" si="16"/>
        <v>-9.7306607937065782E-3</v>
      </c>
      <c r="F529" s="77">
        <v>45429</v>
      </c>
      <c r="G529" s="78">
        <v>22466.1</v>
      </c>
      <c r="H529" s="27">
        <f t="shared" si="17"/>
        <v>2.778540295529563E-3</v>
      </c>
    </row>
    <row r="530" spans="2:8" x14ac:dyDescent="0.3">
      <c r="B530" s="132">
        <v>45430</v>
      </c>
      <c r="C530" s="78">
        <v>2327.15</v>
      </c>
      <c r="D530" s="27">
        <f t="shared" si="16"/>
        <v>6.9229604309542867E-3</v>
      </c>
      <c r="F530" s="77">
        <v>45430</v>
      </c>
      <c r="G530" s="78">
        <v>22502</v>
      </c>
      <c r="H530" s="27">
        <f t="shared" si="17"/>
        <v>1.5979631533733695E-3</v>
      </c>
    </row>
    <row r="531" spans="2:8" x14ac:dyDescent="0.3">
      <c r="B531" s="132">
        <v>45433</v>
      </c>
      <c r="C531" s="78">
        <v>2301.54</v>
      </c>
      <c r="D531" s="27">
        <f t="shared" si="16"/>
        <v>-1.1004877210321692E-2</v>
      </c>
      <c r="F531" s="77">
        <v>45433</v>
      </c>
      <c r="G531" s="78">
        <v>22529.05</v>
      </c>
      <c r="H531" s="27">
        <f t="shared" si="17"/>
        <v>1.2021153675228545E-3</v>
      </c>
    </row>
    <row r="532" spans="2:8" x14ac:dyDescent="0.3">
      <c r="B532" s="132">
        <v>45434</v>
      </c>
      <c r="C532" s="78">
        <v>2357.5100000000002</v>
      </c>
      <c r="D532" s="27">
        <f t="shared" si="16"/>
        <v>2.4318499787099185E-2</v>
      </c>
      <c r="F532" s="77">
        <v>45434</v>
      </c>
      <c r="G532" s="78">
        <v>22597.8</v>
      </c>
      <c r="H532" s="27">
        <f t="shared" si="17"/>
        <v>3.0516155807723809E-3</v>
      </c>
    </row>
    <row r="533" spans="2:8" x14ac:dyDescent="0.3">
      <c r="B533" s="132">
        <v>45435</v>
      </c>
      <c r="C533" s="78">
        <v>2373.0500000000002</v>
      </c>
      <c r="D533" s="27">
        <f t="shared" si="16"/>
        <v>6.5917005654270661E-3</v>
      </c>
      <c r="F533" s="77">
        <v>45435</v>
      </c>
      <c r="G533" s="78">
        <v>22967.65</v>
      </c>
      <c r="H533" s="27">
        <f t="shared" si="17"/>
        <v>1.6366637460283842E-2</v>
      </c>
    </row>
    <row r="534" spans="2:8" x14ac:dyDescent="0.3">
      <c r="B534" s="132">
        <v>45436</v>
      </c>
      <c r="C534" s="78">
        <v>2359.65</v>
      </c>
      <c r="D534" s="27">
        <f t="shared" si="16"/>
        <v>-5.6467415351552181E-3</v>
      </c>
      <c r="F534" s="77">
        <v>45436</v>
      </c>
      <c r="G534" s="78">
        <v>22957.1</v>
      </c>
      <c r="H534" s="27">
        <f t="shared" si="17"/>
        <v>-4.5934172629776704E-4</v>
      </c>
    </row>
    <row r="535" spans="2:8" x14ac:dyDescent="0.3">
      <c r="B535" s="132">
        <v>45439</v>
      </c>
      <c r="C535" s="78">
        <v>2375.04</v>
      </c>
      <c r="D535" s="27">
        <f t="shared" si="16"/>
        <v>6.5221537092364848E-3</v>
      </c>
      <c r="F535" s="77">
        <v>45439</v>
      </c>
      <c r="G535" s="78">
        <v>22932.45</v>
      </c>
      <c r="H535" s="27">
        <f t="shared" si="17"/>
        <v>-1.0737418924863253E-3</v>
      </c>
    </row>
    <row r="536" spans="2:8" x14ac:dyDescent="0.3">
      <c r="B536" s="132">
        <v>45440</v>
      </c>
      <c r="C536" s="78">
        <v>2386.4499999999998</v>
      </c>
      <c r="D536" s="27">
        <f t="shared" si="16"/>
        <v>4.8041296146590605E-3</v>
      </c>
      <c r="F536" s="77">
        <v>45440</v>
      </c>
      <c r="G536" s="78">
        <v>22888.15</v>
      </c>
      <c r="H536" s="27">
        <f t="shared" si="17"/>
        <v>-1.9317604529825322E-3</v>
      </c>
    </row>
    <row r="537" spans="2:8" x14ac:dyDescent="0.3">
      <c r="B537" s="132">
        <v>45441</v>
      </c>
      <c r="C537" s="78">
        <v>2363.9899999999998</v>
      </c>
      <c r="D537" s="27">
        <f t="shared" si="16"/>
        <v>-9.4114689182677354E-3</v>
      </c>
      <c r="F537" s="77">
        <v>45441</v>
      </c>
      <c r="G537" s="78">
        <v>22704.7</v>
      </c>
      <c r="H537" s="27">
        <f t="shared" si="17"/>
        <v>-8.0150645639774608E-3</v>
      </c>
    </row>
    <row r="538" spans="2:8" x14ac:dyDescent="0.3">
      <c r="B538" s="132">
        <v>45442</v>
      </c>
      <c r="C538" s="78">
        <v>2342.0700000000002</v>
      </c>
      <c r="D538" s="27">
        <f t="shared" si="16"/>
        <v>-9.2724588513486174E-3</v>
      </c>
      <c r="F538" s="77">
        <v>45442</v>
      </c>
      <c r="G538" s="78">
        <v>22488.65</v>
      </c>
      <c r="H538" s="27">
        <f t="shared" si="17"/>
        <v>-9.5156509445180632E-3</v>
      </c>
    </row>
    <row r="539" spans="2:8" x14ac:dyDescent="0.3">
      <c r="B539" s="132">
        <v>45443</v>
      </c>
      <c r="C539" s="78">
        <v>2319.81</v>
      </c>
      <c r="D539" s="27">
        <f t="shared" si="16"/>
        <v>-9.5044127630686606E-3</v>
      </c>
      <c r="F539" s="77">
        <v>45443</v>
      </c>
      <c r="G539" s="78">
        <v>22530.7</v>
      </c>
      <c r="H539" s="27">
        <f t="shared" si="17"/>
        <v>1.869832115311469E-3</v>
      </c>
    </row>
    <row r="540" spans="2:8" x14ac:dyDescent="0.3">
      <c r="B540" s="132">
        <v>45446</v>
      </c>
      <c r="C540" s="78">
        <v>2346.56</v>
      </c>
      <c r="D540" s="27">
        <f t="shared" si="16"/>
        <v>1.1531116772494299E-2</v>
      </c>
      <c r="F540" s="77">
        <v>45446</v>
      </c>
      <c r="G540" s="78">
        <v>23263.9</v>
      </c>
      <c r="H540" s="27">
        <f t="shared" si="17"/>
        <v>3.2542264554585552E-2</v>
      </c>
    </row>
    <row r="541" spans="2:8" x14ac:dyDescent="0.3">
      <c r="B541" s="132">
        <v>45447</v>
      </c>
      <c r="C541" s="78">
        <v>2486.4</v>
      </c>
      <c r="D541" s="27">
        <f t="shared" si="16"/>
        <v>5.9593617891722413E-2</v>
      </c>
      <c r="F541" s="77">
        <v>45447</v>
      </c>
      <c r="G541" s="78">
        <v>21884.5</v>
      </c>
      <c r="H541" s="27">
        <f t="shared" si="17"/>
        <v>-5.9293583620975046E-2</v>
      </c>
    </row>
    <row r="542" spans="2:8" x14ac:dyDescent="0.3">
      <c r="B542" s="132">
        <v>45448</v>
      </c>
      <c r="C542" s="78">
        <v>2592.4299999999998</v>
      </c>
      <c r="D542" s="27">
        <f t="shared" si="16"/>
        <v>4.2643983268983165E-2</v>
      </c>
      <c r="F542" s="77">
        <v>45448</v>
      </c>
      <c r="G542" s="78">
        <v>22620.35</v>
      </c>
      <c r="H542" s="27">
        <f t="shared" si="17"/>
        <v>3.3624254609426696E-2</v>
      </c>
    </row>
    <row r="543" spans="2:8" x14ac:dyDescent="0.3">
      <c r="B543" s="132">
        <v>45449</v>
      </c>
      <c r="C543" s="78">
        <v>2539.4899999999998</v>
      </c>
      <c r="D543" s="27">
        <f t="shared" si="16"/>
        <v>-2.0420994973827666E-2</v>
      </c>
      <c r="F543" s="77">
        <v>45449</v>
      </c>
      <c r="G543" s="78">
        <v>22821.4</v>
      </c>
      <c r="H543" s="27">
        <f t="shared" si="17"/>
        <v>8.8880145532674298E-3</v>
      </c>
    </row>
    <row r="544" spans="2:8" x14ac:dyDescent="0.3">
      <c r="B544" s="132">
        <v>45450</v>
      </c>
      <c r="C544" s="78">
        <v>2567.58</v>
      </c>
      <c r="D544" s="27">
        <f t="shared" si="16"/>
        <v>1.10612760829931E-2</v>
      </c>
      <c r="F544" s="77">
        <v>45450</v>
      </c>
      <c r="G544" s="78">
        <v>23290.15</v>
      </c>
      <c r="H544" s="27">
        <f t="shared" si="17"/>
        <v>2.0539931818380992E-2</v>
      </c>
    </row>
    <row r="545" spans="2:8" x14ac:dyDescent="0.3">
      <c r="B545" s="132">
        <v>45453</v>
      </c>
      <c r="C545" s="78">
        <v>2555.1799999999998</v>
      </c>
      <c r="D545" s="27">
        <f t="shared" si="16"/>
        <v>-4.8294502995038487E-3</v>
      </c>
      <c r="F545" s="77">
        <v>45453</v>
      </c>
      <c r="G545" s="78">
        <v>23259.200000000001</v>
      </c>
      <c r="H545" s="27">
        <f t="shared" si="17"/>
        <v>-1.3288879633665187E-3</v>
      </c>
    </row>
    <row r="546" spans="2:8" x14ac:dyDescent="0.3">
      <c r="B546" s="132">
        <v>45454</v>
      </c>
      <c r="C546" s="78">
        <v>2546.21</v>
      </c>
      <c r="D546" s="27">
        <f t="shared" si="16"/>
        <v>-3.5105158932050972E-3</v>
      </c>
      <c r="F546" s="77">
        <v>45454</v>
      </c>
      <c r="G546" s="78">
        <v>23264.85</v>
      </c>
      <c r="H546" s="27">
        <f t="shared" si="17"/>
        <v>2.4291463162954088E-4</v>
      </c>
    </row>
    <row r="547" spans="2:8" x14ac:dyDescent="0.3">
      <c r="B547" s="132">
        <v>45455</v>
      </c>
      <c r="C547" s="78">
        <v>2518.67</v>
      </c>
      <c r="D547" s="27">
        <f t="shared" si="16"/>
        <v>-1.0816075657545906E-2</v>
      </c>
      <c r="F547" s="77">
        <v>45455</v>
      </c>
      <c r="G547" s="78">
        <v>23322.95</v>
      </c>
      <c r="H547" s="27">
        <f t="shared" si="17"/>
        <v>2.4973296625597063E-3</v>
      </c>
    </row>
    <row r="548" spans="2:8" x14ac:dyDescent="0.3">
      <c r="B548" s="132">
        <v>45456</v>
      </c>
      <c r="C548" s="78">
        <v>2477.5300000000002</v>
      </c>
      <c r="D548" s="27">
        <f t="shared" si="16"/>
        <v>-1.6334017556885131E-2</v>
      </c>
      <c r="F548" s="77">
        <v>45456</v>
      </c>
      <c r="G548" s="78">
        <v>23398.9</v>
      </c>
      <c r="H548" s="27">
        <f t="shared" si="17"/>
        <v>3.2564491198583683E-3</v>
      </c>
    </row>
    <row r="549" spans="2:8" x14ac:dyDescent="0.3">
      <c r="B549" s="132">
        <v>45457</v>
      </c>
      <c r="C549" s="78">
        <v>2469.92</v>
      </c>
      <c r="D549" s="27">
        <f t="shared" si="16"/>
        <v>-3.0716076091914634E-3</v>
      </c>
      <c r="F549" s="77">
        <v>45457</v>
      </c>
      <c r="G549" s="78">
        <v>23465.599999999999</v>
      </c>
      <c r="H549" s="27">
        <f t="shared" si="17"/>
        <v>2.8505613511745033E-3</v>
      </c>
    </row>
    <row r="550" spans="2:8" x14ac:dyDescent="0.3">
      <c r="B550" s="132">
        <v>45461</v>
      </c>
      <c r="C550" s="78">
        <v>2476.39</v>
      </c>
      <c r="D550" s="27">
        <f t="shared" si="16"/>
        <v>2.6195180410700752E-3</v>
      </c>
      <c r="F550" s="77">
        <v>45461</v>
      </c>
      <c r="G550" s="78">
        <v>23557.9</v>
      </c>
      <c r="H550" s="27">
        <f t="shared" si="17"/>
        <v>3.9334174280650364E-3</v>
      </c>
    </row>
    <row r="551" spans="2:8" x14ac:dyDescent="0.3">
      <c r="B551" s="132">
        <v>45462</v>
      </c>
      <c r="C551" s="78">
        <v>2447.2600000000002</v>
      </c>
      <c r="D551" s="27">
        <f t="shared" si="16"/>
        <v>-1.1763090627889652E-2</v>
      </c>
      <c r="F551" s="77">
        <v>45462</v>
      </c>
      <c r="G551" s="78">
        <v>23516</v>
      </c>
      <c r="H551" s="27">
        <f t="shared" si="17"/>
        <v>-1.7785965642099445E-3</v>
      </c>
    </row>
    <row r="552" spans="2:8" x14ac:dyDescent="0.3">
      <c r="B552" s="132">
        <v>45463</v>
      </c>
      <c r="C552" s="78">
        <v>2472.36</v>
      </c>
      <c r="D552" s="27">
        <f t="shared" si="16"/>
        <v>1.0256368346640695E-2</v>
      </c>
      <c r="F552" s="77">
        <v>45463</v>
      </c>
      <c r="G552" s="78">
        <v>23567</v>
      </c>
      <c r="H552" s="27">
        <f t="shared" si="17"/>
        <v>2.1687361796223848E-3</v>
      </c>
    </row>
    <row r="553" spans="2:8" x14ac:dyDescent="0.3">
      <c r="B553" s="132">
        <v>45464</v>
      </c>
      <c r="C553" s="78">
        <v>2431.62</v>
      </c>
      <c r="D553" s="27">
        <f t="shared" si="16"/>
        <v>-1.6478182788914331E-2</v>
      </c>
      <c r="F553" s="77">
        <v>45464</v>
      </c>
      <c r="G553" s="78">
        <v>23501.1</v>
      </c>
      <c r="H553" s="27">
        <f t="shared" si="17"/>
        <v>-2.7962829380065962E-3</v>
      </c>
    </row>
    <row r="554" spans="2:8" x14ac:dyDescent="0.3">
      <c r="B554" s="132">
        <v>45467</v>
      </c>
      <c r="C554" s="78">
        <v>2432.5100000000002</v>
      </c>
      <c r="D554" s="27">
        <f t="shared" si="16"/>
        <v>3.6601113660865079E-4</v>
      </c>
      <c r="F554" s="77">
        <v>45467</v>
      </c>
      <c r="G554" s="78">
        <v>23537.85</v>
      </c>
      <c r="H554" s="27">
        <f t="shared" si="17"/>
        <v>1.5637565901170584E-3</v>
      </c>
    </row>
    <row r="555" spans="2:8" x14ac:dyDescent="0.3">
      <c r="B555" s="132">
        <v>45468</v>
      </c>
      <c r="C555" s="78">
        <v>2422.5500000000002</v>
      </c>
      <c r="D555" s="27">
        <f t="shared" si="16"/>
        <v>-4.0945360964600493E-3</v>
      </c>
      <c r="F555" s="77">
        <v>45468</v>
      </c>
      <c r="G555" s="78">
        <v>23721.3</v>
      </c>
      <c r="H555" s="27">
        <f t="shared" si="17"/>
        <v>7.7938299377386102E-3</v>
      </c>
    </row>
    <row r="556" spans="2:8" x14ac:dyDescent="0.3">
      <c r="B556" s="132">
        <v>45469</v>
      </c>
      <c r="C556" s="78">
        <v>2435.9</v>
      </c>
      <c r="D556" s="27">
        <f t="shared" si="16"/>
        <v>5.5107221729169299E-3</v>
      </c>
      <c r="F556" s="77">
        <v>45469</v>
      </c>
      <c r="G556" s="78">
        <v>23868.799999999999</v>
      </c>
      <c r="H556" s="27">
        <f t="shared" si="17"/>
        <v>6.2180403266262809E-3</v>
      </c>
    </row>
    <row r="557" spans="2:8" x14ac:dyDescent="0.3">
      <c r="B557" s="132">
        <v>45470</v>
      </c>
      <c r="C557" s="78">
        <v>2452.39</v>
      </c>
      <c r="D557" s="27">
        <f t="shared" si="16"/>
        <v>6.7695718215032563E-3</v>
      </c>
      <c r="F557" s="77">
        <v>45470</v>
      </c>
      <c r="G557" s="78">
        <v>24044.5</v>
      </c>
      <c r="H557" s="27">
        <f t="shared" si="17"/>
        <v>7.3610738704920535E-3</v>
      </c>
    </row>
    <row r="558" spans="2:8" x14ac:dyDescent="0.3">
      <c r="B558" s="132">
        <v>45471</v>
      </c>
      <c r="C558" s="78">
        <v>2463.2399999999998</v>
      </c>
      <c r="D558" s="27">
        <f t="shared" si="16"/>
        <v>4.4242555221640561E-3</v>
      </c>
      <c r="F558" s="77">
        <v>45471</v>
      </c>
      <c r="G558" s="78">
        <v>24010.6</v>
      </c>
      <c r="H558" s="27">
        <f t="shared" si="17"/>
        <v>-1.409885836677887E-3</v>
      </c>
    </row>
    <row r="559" spans="2:8" x14ac:dyDescent="0.3">
      <c r="B559" s="132">
        <v>45474</v>
      </c>
      <c r="C559" s="78">
        <v>2495.17</v>
      </c>
      <c r="D559" s="27">
        <f t="shared" si="16"/>
        <v>1.2962602101297597E-2</v>
      </c>
      <c r="F559" s="77">
        <v>45474</v>
      </c>
      <c r="G559" s="78">
        <v>24141.95</v>
      </c>
      <c r="H559" s="27">
        <f t="shared" si="17"/>
        <v>5.4705005289331461E-3</v>
      </c>
    </row>
    <row r="560" spans="2:8" x14ac:dyDescent="0.3">
      <c r="B560" s="132">
        <v>45475</v>
      </c>
      <c r="C560" s="78">
        <v>2475.29</v>
      </c>
      <c r="D560" s="27">
        <f t="shared" si="16"/>
        <v>-7.9673930032823845E-3</v>
      </c>
      <c r="F560" s="77">
        <v>45475</v>
      </c>
      <c r="G560" s="78">
        <v>24123.85</v>
      </c>
      <c r="H560" s="27">
        <f t="shared" si="17"/>
        <v>-7.4973231242721412E-4</v>
      </c>
    </row>
    <row r="561" spans="2:8" x14ac:dyDescent="0.3">
      <c r="B561" s="132">
        <v>45476</v>
      </c>
      <c r="C561" s="78">
        <v>2500.39</v>
      </c>
      <c r="D561" s="27">
        <f t="shared" si="16"/>
        <v>1.0140225993721911E-2</v>
      </c>
      <c r="F561" s="77">
        <v>45476</v>
      </c>
      <c r="G561" s="78">
        <v>24286.5</v>
      </c>
      <c r="H561" s="27">
        <f t="shared" si="17"/>
        <v>6.7422903060664636E-3</v>
      </c>
    </row>
    <row r="562" spans="2:8" x14ac:dyDescent="0.3">
      <c r="B562" s="132">
        <v>45477</v>
      </c>
      <c r="C562" s="78">
        <v>2486.0500000000002</v>
      </c>
      <c r="D562" s="27">
        <f t="shared" si="16"/>
        <v>-5.7351053235693995E-3</v>
      </c>
      <c r="F562" s="77">
        <v>45477</v>
      </c>
      <c r="G562" s="78">
        <v>24302.15</v>
      </c>
      <c r="H562" s="27">
        <f t="shared" si="17"/>
        <v>6.4439091676451749E-4</v>
      </c>
    </row>
    <row r="563" spans="2:8" x14ac:dyDescent="0.3">
      <c r="B563" s="132">
        <v>45478</v>
      </c>
      <c r="C563" s="78">
        <v>2536.9</v>
      </c>
      <c r="D563" s="27">
        <f t="shared" si="16"/>
        <v>2.0454134068099959E-2</v>
      </c>
      <c r="F563" s="77">
        <v>45478</v>
      </c>
      <c r="G563" s="78">
        <v>24323.85</v>
      </c>
      <c r="H563" s="27">
        <f t="shared" si="17"/>
        <v>8.9292511156408331E-4</v>
      </c>
    </row>
    <row r="564" spans="2:8" x14ac:dyDescent="0.3">
      <c r="B564" s="132">
        <v>45481</v>
      </c>
      <c r="C564" s="78">
        <v>2576.89</v>
      </c>
      <c r="D564" s="27">
        <f t="shared" si="16"/>
        <v>1.5763333201939289E-2</v>
      </c>
      <c r="F564" s="77">
        <v>45481</v>
      </c>
      <c r="G564" s="78">
        <v>24320.55</v>
      </c>
      <c r="H564" s="27">
        <f t="shared" si="17"/>
        <v>-1.3566931221822501E-4</v>
      </c>
    </row>
    <row r="565" spans="2:8" x14ac:dyDescent="0.3">
      <c r="B565" s="132">
        <v>45482</v>
      </c>
      <c r="C565" s="78">
        <v>2579.88</v>
      </c>
      <c r="D565" s="27">
        <f t="shared" si="16"/>
        <v>1.1603134010377768E-3</v>
      </c>
      <c r="F565" s="77">
        <v>45482</v>
      </c>
      <c r="G565" s="78">
        <v>24433.200000000001</v>
      </c>
      <c r="H565" s="27">
        <f t="shared" si="17"/>
        <v>4.6318853808816601E-3</v>
      </c>
    </row>
    <row r="566" spans="2:8" x14ac:dyDescent="0.3">
      <c r="B566" s="132">
        <v>45483</v>
      </c>
      <c r="C566" s="78">
        <v>2600.1</v>
      </c>
      <c r="D566" s="27">
        <f t="shared" si="16"/>
        <v>7.8375738406436732E-3</v>
      </c>
      <c r="F566" s="77">
        <v>45483</v>
      </c>
      <c r="G566" s="78">
        <v>24324.45</v>
      </c>
      <c r="H566" s="27">
        <f t="shared" si="17"/>
        <v>-4.4509110554491428E-3</v>
      </c>
    </row>
    <row r="567" spans="2:8" x14ac:dyDescent="0.3">
      <c r="B567" s="132">
        <v>45484</v>
      </c>
      <c r="C567" s="78">
        <v>2598.5</v>
      </c>
      <c r="D567" s="27">
        <f t="shared" si="16"/>
        <v>-6.1536094765582438E-4</v>
      </c>
      <c r="F567" s="77">
        <v>45484</v>
      </c>
      <c r="G567" s="78">
        <v>24315.95</v>
      </c>
      <c r="H567" s="27">
        <f t="shared" si="17"/>
        <v>-3.4944263899080964E-4</v>
      </c>
    </row>
    <row r="568" spans="2:8" x14ac:dyDescent="0.3">
      <c r="B568" s="132">
        <v>45485</v>
      </c>
      <c r="C568" s="78">
        <v>2611.85</v>
      </c>
      <c r="D568" s="27">
        <f t="shared" si="16"/>
        <v>5.1375793727149932E-3</v>
      </c>
      <c r="F568" s="77">
        <v>45485</v>
      </c>
      <c r="G568" s="78">
        <v>24502.15</v>
      </c>
      <c r="H568" s="27">
        <f t="shared" si="17"/>
        <v>7.6575252046496524E-3</v>
      </c>
    </row>
    <row r="569" spans="2:8" x14ac:dyDescent="0.3">
      <c r="B569" s="132">
        <v>45488</v>
      </c>
      <c r="C569" s="78">
        <v>2609.91</v>
      </c>
      <c r="D569" s="27">
        <f t="shared" si="16"/>
        <v>-7.4276853571225558E-4</v>
      </c>
      <c r="F569" s="77">
        <v>45488</v>
      </c>
      <c r="G569" s="78">
        <v>24586.7</v>
      </c>
      <c r="H569" s="27">
        <f t="shared" si="17"/>
        <v>3.4507175900890031E-3</v>
      </c>
    </row>
    <row r="570" spans="2:8" x14ac:dyDescent="0.3">
      <c r="B570" s="132">
        <v>45489</v>
      </c>
      <c r="C570" s="78">
        <v>2677.79</v>
      </c>
      <c r="D570" s="27">
        <f t="shared" si="16"/>
        <v>2.6008559682134676E-2</v>
      </c>
      <c r="F570" s="77">
        <v>45489</v>
      </c>
      <c r="G570" s="78">
        <v>24613</v>
      </c>
      <c r="H570" s="27">
        <f t="shared" si="17"/>
        <v>1.0696840161550461E-3</v>
      </c>
    </row>
    <row r="571" spans="2:8" x14ac:dyDescent="0.3">
      <c r="B571" s="132">
        <v>45491</v>
      </c>
      <c r="C571" s="78">
        <v>2727.54</v>
      </c>
      <c r="D571" s="27">
        <f t="shared" si="16"/>
        <v>1.8578753374984595E-2</v>
      </c>
      <c r="F571" s="77">
        <v>45491</v>
      </c>
      <c r="G571" s="78">
        <v>24800.85</v>
      </c>
      <c r="H571" s="27">
        <f t="shared" si="17"/>
        <v>7.6321456141063074E-3</v>
      </c>
    </row>
    <row r="572" spans="2:8" x14ac:dyDescent="0.3">
      <c r="B572" s="132">
        <v>45492</v>
      </c>
      <c r="C572" s="78">
        <v>2716.19</v>
      </c>
      <c r="D572" s="27">
        <f t="shared" si="16"/>
        <v>-4.1612588632980304E-3</v>
      </c>
      <c r="F572" s="77">
        <v>45492</v>
      </c>
      <c r="G572" s="78">
        <v>24530.9</v>
      </c>
      <c r="H572" s="27">
        <f t="shared" si="17"/>
        <v>-1.0884707580586839E-2</v>
      </c>
    </row>
    <row r="573" spans="2:8" x14ac:dyDescent="0.3">
      <c r="B573" s="132">
        <v>45495</v>
      </c>
      <c r="C573" s="78">
        <v>2724.45</v>
      </c>
      <c r="D573" s="27">
        <f t="shared" si="16"/>
        <v>3.0410243760560797E-3</v>
      </c>
      <c r="F573" s="77">
        <v>45495</v>
      </c>
      <c r="G573" s="78">
        <v>24509.25</v>
      </c>
      <c r="H573" s="27">
        <f t="shared" si="17"/>
        <v>-8.8256036264472372E-4</v>
      </c>
    </row>
    <row r="574" spans="2:8" x14ac:dyDescent="0.3">
      <c r="B574" s="132">
        <v>45496</v>
      </c>
      <c r="C574" s="78">
        <v>2755.38</v>
      </c>
      <c r="D574" s="27">
        <f t="shared" si="16"/>
        <v>1.1352750096349829E-2</v>
      </c>
      <c r="F574" s="77">
        <v>45496</v>
      </c>
      <c r="G574" s="78">
        <v>24479.05</v>
      </c>
      <c r="H574" s="27">
        <f t="shared" si="17"/>
        <v>-1.2321878474453819E-3</v>
      </c>
    </row>
    <row r="575" spans="2:8" x14ac:dyDescent="0.3">
      <c r="B575" s="132">
        <v>45497</v>
      </c>
      <c r="C575" s="78">
        <v>2706.27</v>
      </c>
      <c r="D575" s="27">
        <f t="shared" si="16"/>
        <v>-1.7823312936872636E-2</v>
      </c>
      <c r="F575" s="77">
        <v>45497</v>
      </c>
      <c r="G575" s="78">
        <v>24413.5</v>
      </c>
      <c r="H575" s="27">
        <f t="shared" si="17"/>
        <v>-2.677799996323357E-3</v>
      </c>
    </row>
    <row r="576" spans="2:8" x14ac:dyDescent="0.3">
      <c r="B576" s="132">
        <v>45498</v>
      </c>
      <c r="C576" s="78">
        <v>2696.46</v>
      </c>
      <c r="D576" s="27">
        <f t="shared" si="16"/>
        <v>-3.6249154740657604E-3</v>
      </c>
      <c r="F576" s="77">
        <v>45498</v>
      </c>
      <c r="G576" s="78">
        <v>24406.1</v>
      </c>
      <c r="H576" s="27">
        <f t="shared" si="17"/>
        <v>-3.0311098367712352E-4</v>
      </c>
    </row>
    <row r="577" spans="2:8" x14ac:dyDescent="0.3">
      <c r="B577" s="132">
        <v>45499</v>
      </c>
      <c r="C577" s="78">
        <v>2700.3</v>
      </c>
      <c r="D577" s="27">
        <f t="shared" si="16"/>
        <v>1.4240893616074947E-3</v>
      </c>
      <c r="F577" s="77">
        <v>45499</v>
      </c>
      <c r="G577" s="78">
        <v>24834.85</v>
      </c>
      <c r="H577" s="27">
        <f t="shared" si="17"/>
        <v>1.7567329479105633E-2</v>
      </c>
    </row>
    <row r="578" spans="2:8" x14ac:dyDescent="0.3">
      <c r="B578" s="132">
        <v>45502</v>
      </c>
      <c r="C578" s="78">
        <v>2700.85</v>
      </c>
      <c r="D578" s="27">
        <f t="shared" si="16"/>
        <v>2.0368107247332781E-4</v>
      </c>
      <c r="F578" s="77">
        <v>45502</v>
      </c>
      <c r="G578" s="78">
        <v>24836.1</v>
      </c>
      <c r="H578" s="27">
        <f t="shared" si="17"/>
        <v>5.0332496471692003E-5</v>
      </c>
    </row>
    <row r="579" spans="2:8" x14ac:dyDescent="0.3">
      <c r="B579" s="132">
        <v>45503</v>
      </c>
      <c r="C579" s="78">
        <v>2680.73</v>
      </c>
      <c r="D579" s="27">
        <f t="shared" si="16"/>
        <v>-7.4495066367994862E-3</v>
      </c>
      <c r="F579" s="77">
        <v>45503</v>
      </c>
      <c r="G579" s="78">
        <v>24857.3</v>
      </c>
      <c r="H579" s="27">
        <f t="shared" si="17"/>
        <v>8.5359617653338197E-4</v>
      </c>
    </row>
    <row r="580" spans="2:8" x14ac:dyDescent="0.3">
      <c r="B580" s="132">
        <v>45504</v>
      </c>
      <c r="C580" s="78">
        <v>2694.92</v>
      </c>
      <c r="D580" s="27">
        <f t="shared" si="16"/>
        <v>5.2933342783495745E-3</v>
      </c>
      <c r="F580" s="77">
        <v>45504</v>
      </c>
      <c r="G580" s="78">
        <v>24951.15</v>
      </c>
      <c r="H580" s="27">
        <f t="shared" si="17"/>
        <v>3.7755508442188887E-3</v>
      </c>
    </row>
    <row r="581" spans="2:8" x14ac:dyDescent="0.3">
      <c r="B581" s="132">
        <v>45505</v>
      </c>
      <c r="C581" s="78">
        <v>2704.78</v>
      </c>
      <c r="D581" s="27">
        <f t="shared" ref="D581:D644" si="18">(C581-C580)/C580</f>
        <v>3.6587356953082565E-3</v>
      </c>
      <c r="F581" s="77">
        <v>45505</v>
      </c>
      <c r="G581" s="78">
        <v>25010.9</v>
      </c>
      <c r="H581" s="27">
        <f t="shared" ref="H581:H644" si="19">(G581-G580)/G580</f>
        <v>2.3946792031629802E-3</v>
      </c>
    </row>
    <row r="582" spans="2:8" x14ac:dyDescent="0.3">
      <c r="B582" s="132">
        <v>45506</v>
      </c>
      <c r="C582" s="78">
        <v>2681.87</v>
      </c>
      <c r="D582" s="27">
        <f t="shared" si="18"/>
        <v>-8.4701898121105259E-3</v>
      </c>
      <c r="F582" s="77">
        <v>45506</v>
      </c>
      <c r="G582" s="78">
        <v>24717.7</v>
      </c>
      <c r="H582" s="27">
        <f t="shared" si="19"/>
        <v>-1.1722888820474302E-2</v>
      </c>
    </row>
    <row r="583" spans="2:8" x14ac:dyDescent="0.3">
      <c r="B583" s="132">
        <v>45509</v>
      </c>
      <c r="C583" s="78">
        <v>2705.13</v>
      </c>
      <c r="D583" s="27">
        <f t="shared" si="18"/>
        <v>8.6730527579637409E-3</v>
      </c>
      <c r="F583" s="77">
        <v>45509</v>
      </c>
      <c r="G583" s="78">
        <v>24055.599999999999</v>
      </c>
      <c r="H583" s="27">
        <f t="shared" si="19"/>
        <v>-2.6786472851438529E-2</v>
      </c>
    </row>
    <row r="584" spans="2:8" x14ac:dyDescent="0.3">
      <c r="B584" s="132">
        <v>45510</v>
      </c>
      <c r="C584" s="78">
        <v>2739.14</v>
      </c>
      <c r="D584" s="27">
        <f t="shared" si="18"/>
        <v>1.2572408719728723E-2</v>
      </c>
      <c r="F584" s="77">
        <v>45510</v>
      </c>
      <c r="G584" s="78">
        <v>23992.55</v>
      </c>
      <c r="H584" s="27">
        <f t="shared" si="19"/>
        <v>-2.6210113237665773E-3</v>
      </c>
    </row>
    <row r="585" spans="2:8" x14ac:dyDescent="0.3">
      <c r="B585" s="132">
        <v>45511</v>
      </c>
      <c r="C585" s="78">
        <v>2733.17</v>
      </c>
      <c r="D585" s="27">
        <f t="shared" si="18"/>
        <v>-2.1795161985147895E-3</v>
      </c>
      <c r="F585" s="77">
        <v>45511</v>
      </c>
      <c r="G585" s="78">
        <v>24297.5</v>
      </c>
      <c r="H585" s="27">
        <f t="shared" si="19"/>
        <v>1.2710195456506321E-2</v>
      </c>
    </row>
    <row r="586" spans="2:8" x14ac:dyDescent="0.3">
      <c r="B586" s="132">
        <v>45512</v>
      </c>
      <c r="C586" s="78">
        <v>2722.36</v>
      </c>
      <c r="D586" s="27">
        <f t="shared" si="18"/>
        <v>-3.9551143909818797E-3</v>
      </c>
      <c r="F586" s="77">
        <v>45512</v>
      </c>
      <c r="G586" s="78">
        <v>24117</v>
      </c>
      <c r="H586" s="27">
        <f t="shared" si="19"/>
        <v>-7.428747813561066E-3</v>
      </c>
    </row>
    <row r="587" spans="2:8" x14ac:dyDescent="0.3">
      <c r="B587" s="132">
        <v>45513</v>
      </c>
      <c r="C587" s="78">
        <v>2736.3</v>
      </c>
      <c r="D587" s="27">
        <f t="shared" si="18"/>
        <v>5.1205571636374521E-3</v>
      </c>
      <c r="F587" s="77">
        <v>45513</v>
      </c>
      <c r="G587" s="78">
        <v>24367.5</v>
      </c>
      <c r="H587" s="27">
        <f t="shared" si="19"/>
        <v>1.0386864037815649E-2</v>
      </c>
    </row>
    <row r="588" spans="2:8" x14ac:dyDescent="0.3">
      <c r="B588" s="132">
        <v>45516</v>
      </c>
      <c r="C588" s="78">
        <v>2737.8</v>
      </c>
      <c r="D588" s="27">
        <f t="shared" si="18"/>
        <v>5.4818550597522198E-4</v>
      </c>
      <c r="F588" s="77">
        <v>45516</v>
      </c>
      <c r="G588" s="78">
        <v>24347</v>
      </c>
      <c r="H588" s="27">
        <f t="shared" si="19"/>
        <v>-8.412844977941931E-4</v>
      </c>
    </row>
    <row r="589" spans="2:8" x14ac:dyDescent="0.3">
      <c r="B589" s="132">
        <v>45517</v>
      </c>
      <c r="C589" s="78">
        <v>2730.53</v>
      </c>
      <c r="D589" s="27">
        <f t="shared" si="18"/>
        <v>-2.6554167579808537E-3</v>
      </c>
      <c r="F589" s="77">
        <v>45517</v>
      </c>
      <c r="G589" s="78">
        <v>24139</v>
      </c>
      <c r="H589" s="27">
        <f t="shared" si="19"/>
        <v>-8.5431469996303452E-3</v>
      </c>
    </row>
    <row r="590" spans="2:8" x14ac:dyDescent="0.3">
      <c r="B590" s="132">
        <v>45518</v>
      </c>
      <c r="C590" s="78">
        <v>2711.25</v>
      </c>
      <c r="D590" s="27">
        <f t="shared" si="18"/>
        <v>-7.060900264783833E-3</v>
      </c>
      <c r="F590" s="77">
        <v>45518</v>
      </c>
      <c r="G590" s="78">
        <v>24143.75</v>
      </c>
      <c r="H590" s="27">
        <f t="shared" si="19"/>
        <v>1.9677699987571978E-4</v>
      </c>
    </row>
    <row r="591" spans="2:8" x14ac:dyDescent="0.3">
      <c r="B591" s="132">
        <v>45520</v>
      </c>
      <c r="C591" s="78">
        <v>2737.35</v>
      </c>
      <c r="D591" s="27">
        <f t="shared" si="18"/>
        <v>9.6265560165974765E-3</v>
      </c>
      <c r="F591" s="77">
        <v>45520</v>
      </c>
      <c r="G591" s="78">
        <v>24541.15</v>
      </c>
      <c r="H591" s="27">
        <f t="shared" si="19"/>
        <v>1.6459746311157191E-2</v>
      </c>
    </row>
    <row r="592" spans="2:8" x14ac:dyDescent="0.3">
      <c r="B592" s="132">
        <v>45523</v>
      </c>
      <c r="C592" s="78">
        <v>2731.67</v>
      </c>
      <c r="D592" s="27">
        <f t="shared" si="18"/>
        <v>-2.0749995433539141E-3</v>
      </c>
      <c r="F592" s="77">
        <v>45523</v>
      </c>
      <c r="G592" s="78">
        <v>24572.65</v>
      </c>
      <c r="H592" s="27">
        <f t="shared" si="19"/>
        <v>1.2835584314508488E-3</v>
      </c>
    </row>
    <row r="593" spans="2:8" x14ac:dyDescent="0.3">
      <c r="B593" s="132">
        <v>45524</v>
      </c>
      <c r="C593" s="78">
        <v>2740.14</v>
      </c>
      <c r="D593" s="27">
        <f t="shared" si="18"/>
        <v>3.1006673573307901E-3</v>
      </c>
      <c r="F593" s="77">
        <v>45524</v>
      </c>
      <c r="G593" s="78">
        <v>24698.85</v>
      </c>
      <c r="H593" s="27">
        <f t="shared" si="19"/>
        <v>5.135791215029599E-3</v>
      </c>
    </row>
    <row r="594" spans="2:8" x14ac:dyDescent="0.3">
      <c r="B594" s="132">
        <v>45525</v>
      </c>
      <c r="C594" s="78">
        <v>2780.13</v>
      </c>
      <c r="D594" s="27">
        <f t="shared" si="18"/>
        <v>1.4594144824717072E-2</v>
      </c>
      <c r="F594" s="77">
        <v>45525</v>
      </c>
      <c r="G594" s="78">
        <v>24770.2</v>
      </c>
      <c r="H594" s="27">
        <f t="shared" si="19"/>
        <v>2.8887984663254437E-3</v>
      </c>
    </row>
    <row r="595" spans="2:8" x14ac:dyDescent="0.3">
      <c r="B595" s="132">
        <v>45526</v>
      </c>
      <c r="C595" s="78">
        <v>2781.72</v>
      </c>
      <c r="D595" s="27">
        <f t="shared" si="18"/>
        <v>5.7191570178361829E-4</v>
      </c>
      <c r="F595" s="77">
        <v>45526</v>
      </c>
      <c r="G595" s="78">
        <v>24811.5</v>
      </c>
      <c r="H595" s="27">
        <f t="shared" si="19"/>
        <v>1.6673260611540994E-3</v>
      </c>
    </row>
    <row r="596" spans="2:8" x14ac:dyDescent="0.3">
      <c r="B596" s="132">
        <v>45527</v>
      </c>
      <c r="C596" s="78">
        <v>2804.43</v>
      </c>
      <c r="D596" s="27">
        <f t="shared" si="18"/>
        <v>8.1640136318536869E-3</v>
      </c>
      <c r="F596" s="77">
        <v>45527</v>
      </c>
      <c r="G596" s="78">
        <v>24823.15</v>
      </c>
      <c r="H596" s="27">
        <f t="shared" si="19"/>
        <v>4.6954033411931789E-4</v>
      </c>
    </row>
    <row r="597" spans="2:8" x14ac:dyDescent="0.3">
      <c r="B597" s="132">
        <v>45530</v>
      </c>
      <c r="C597" s="78">
        <v>2809.96</v>
      </c>
      <c r="D597" s="27">
        <f t="shared" si="18"/>
        <v>1.9718802038204558E-3</v>
      </c>
      <c r="F597" s="77">
        <v>45530</v>
      </c>
      <c r="G597" s="78">
        <v>25010.6</v>
      </c>
      <c r="H597" s="27">
        <f t="shared" si="19"/>
        <v>7.5514187361393325E-3</v>
      </c>
    </row>
    <row r="598" spans="2:8" x14ac:dyDescent="0.3">
      <c r="B598" s="132">
        <v>45531</v>
      </c>
      <c r="C598" s="78">
        <v>2755.93</v>
      </c>
      <c r="D598" s="27">
        <f t="shared" si="18"/>
        <v>-1.9228031715754032E-2</v>
      </c>
      <c r="F598" s="77">
        <v>45531</v>
      </c>
      <c r="G598" s="78">
        <v>25017.75</v>
      </c>
      <c r="H598" s="27">
        <f t="shared" si="19"/>
        <v>2.8587878739420311E-4</v>
      </c>
    </row>
    <row r="599" spans="2:8" x14ac:dyDescent="0.3">
      <c r="B599" s="132">
        <v>45532</v>
      </c>
      <c r="C599" s="78">
        <v>2753.39</v>
      </c>
      <c r="D599" s="27">
        <f t="shared" si="18"/>
        <v>-9.2164895334785851E-4</v>
      </c>
      <c r="F599" s="77">
        <v>45532</v>
      </c>
      <c r="G599" s="78">
        <v>25052.35</v>
      </c>
      <c r="H599" s="27">
        <f t="shared" si="19"/>
        <v>1.3830180571793446E-3</v>
      </c>
    </row>
    <row r="600" spans="2:8" x14ac:dyDescent="0.3">
      <c r="B600" s="132">
        <v>45533</v>
      </c>
      <c r="C600" s="78">
        <v>2774.2</v>
      </c>
      <c r="D600" s="27">
        <f t="shared" si="18"/>
        <v>7.5579558289962361E-3</v>
      </c>
      <c r="F600" s="77">
        <v>45533</v>
      </c>
      <c r="G600" s="78">
        <v>25151.95</v>
      </c>
      <c r="H600" s="27">
        <f t="shared" si="19"/>
        <v>3.9756749366826744E-3</v>
      </c>
    </row>
    <row r="601" spans="2:8" x14ac:dyDescent="0.3">
      <c r="B601" s="132">
        <v>45534</v>
      </c>
      <c r="C601" s="78">
        <v>2766.98</v>
      </c>
      <c r="D601" s="27">
        <f t="shared" si="18"/>
        <v>-2.6025520870880977E-3</v>
      </c>
      <c r="F601" s="77">
        <v>45534</v>
      </c>
      <c r="G601" s="78">
        <v>25235.9</v>
      </c>
      <c r="H601" s="27">
        <f t="shared" si="19"/>
        <v>3.3377133780880101E-3</v>
      </c>
    </row>
    <row r="602" spans="2:8" x14ac:dyDescent="0.3">
      <c r="B602" s="132">
        <v>45537</v>
      </c>
      <c r="C602" s="78">
        <v>2777.99</v>
      </c>
      <c r="D602" s="27">
        <f t="shared" si="18"/>
        <v>3.9790674309173766E-3</v>
      </c>
      <c r="F602" s="77">
        <v>45537</v>
      </c>
      <c r="G602" s="78">
        <v>25278.7</v>
      </c>
      <c r="H602" s="27">
        <f t="shared" si="19"/>
        <v>1.6959965763059478E-3</v>
      </c>
    </row>
    <row r="603" spans="2:8" x14ac:dyDescent="0.3">
      <c r="B603" s="132">
        <v>45538</v>
      </c>
      <c r="C603" s="78">
        <v>2783.22</v>
      </c>
      <c r="D603" s="27">
        <f t="shared" si="18"/>
        <v>1.8826561650689955E-3</v>
      </c>
      <c r="F603" s="77">
        <v>45538</v>
      </c>
      <c r="G603" s="78">
        <v>25279.85</v>
      </c>
      <c r="H603" s="27">
        <f t="shared" si="19"/>
        <v>4.5492845755431141E-5</v>
      </c>
    </row>
    <row r="604" spans="2:8" x14ac:dyDescent="0.3">
      <c r="B604" s="132">
        <v>45539</v>
      </c>
      <c r="C604" s="78">
        <v>2829.98</v>
      </c>
      <c r="D604" s="27">
        <f t="shared" si="18"/>
        <v>1.6800684099711923E-2</v>
      </c>
      <c r="F604" s="77">
        <v>45539</v>
      </c>
      <c r="G604" s="78">
        <v>25198.7</v>
      </c>
      <c r="H604" s="27">
        <f t="shared" si="19"/>
        <v>-3.2100665154262318E-3</v>
      </c>
    </row>
    <row r="605" spans="2:8" x14ac:dyDescent="0.3">
      <c r="B605" s="132">
        <v>45540</v>
      </c>
      <c r="C605" s="78">
        <v>2827.19</v>
      </c>
      <c r="D605" s="27">
        <f t="shared" si="18"/>
        <v>-9.8587269167978706E-4</v>
      </c>
      <c r="F605" s="77">
        <v>45540</v>
      </c>
      <c r="G605" s="78">
        <v>25145.1</v>
      </c>
      <c r="H605" s="27">
        <f t="shared" si="19"/>
        <v>-2.1270938580165715E-3</v>
      </c>
    </row>
    <row r="606" spans="2:8" x14ac:dyDescent="0.3">
      <c r="B606" s="132">
        <v>45541</v>
      </c>
      <c r="C606" s="78">
        <v>2827.69</v>
      </c>
      <c r="D606" s="27">
        <f t="shared" si="18"/>
        <v>1.7685404942716974E-4</v>
      </c>
      <c r="F606" s="77">
        <v>45541</v>
      </c>
      <c r="G606" s="78">
        <v>24852.15</v>
      </c>
      <c r="H606" s="27">
        <f t="shared" si="19"/>
        <v>-1.1650381187587128E-2</v>
      </c>
    </row>
    <row r="607" spans="2:8" x14ac:dyDescent="0.3">
      <c r="B607" s="132">
        <v>45544</v>
      </c>
      <c r="C607" s="78">
        <v>2910.21</v>
      </c>
      <c r="D607" s="27">
        <f t="shared" si="18"/>
        <v>2.9182831215585861E-2</v>
      </c>
      <c r="F607" s="77">
        <v>45544</v>
      </c>
      <c r="G607" s="78">
        <v>24936.400000000001</v>
      </c>
      <c r="H607" s="27">
        <f t="shared" si="19"/>
        <v>3.3900487482974306E-3</v>
      </c>
    </row>
    <row r="608" spans="2:8" x14ac:dyDescent="0.3">
      <c r="B608" s="132">
        <v>45545</v>
      </c>
      <c r="C608" s="78">
        <v>2887.1</v>
      </c>
      <c r="D608" s="27">
        <f t="shared" si="18"/>
        <v>-7.9410076936029111E-3</v>
      </c>
      <c r="F608" s="77">
        <v>45545</v>
      </c>
      <c r="G608" s="78">
        <v>25041.1</v>
      </c>
      <c r="H608" s="27">
        <f t="shared" si="19"/>
        <v>4.1986814455974835E-3</v>
      </c>
    </row>
    <row r="609" spans="2:8" x14ac:dyDescent="0.3">
      <c r="B609" s="132">
        <v>45546</v>
      </c>
      <c r="C609" s="78">
        <v>2892.63</v>
      </c>
      <c r="D609" s="27">
        <f t="shared" si="18"/>
        <v>1.9154168542829138E-3</v>
      </c>
      <c r="F609" s="77">
        <v>45546</v>
      </c>
      <c r="G609" s="78">
        <v>24918.45</v>
      </c>
      <c r="H609" s="27">
        <f t="shared" si="19"/>
        <v>-4.8979477738596879E-3</v>
      </c>
    </row>
    <row r="610" spans="2:8" x14ac:dyDescent="0.3">
      <c r="B610" s="132">
        <v>45547</v>
      </c>
      <c r="C610" s="78">
        <v>2944.68</v>
      </c>
      <c r="D610" s="27">
        <f t="shared" si="18"/>
        <v>1.7994005455243059E-2</v>
      </c>
      <c r="F610" s="77">
        <v>45547</v>
      </c>
      <c r="G610" s="78">
        <v>25388.9</v>
      </c>
      <c r="H610" s="27">
        <f t="shared" si="19"/>
        <v>1.8879585206945083E-2</v>
      </c>
    </row>
    <row r="611" spans="2:8" x14ac:dyDescent="0.3">
      <c r="B611" s="132">
        <v>45548</v>
      </c>
      <c r="C611" s="78">
        <v>2921.32</v>
      </c>
      <c r="D611" s="27">
        <f t="shared" si="18"/>
        <v>-7.9329502696386962E-3</v>
      </c>
      <c r="F611" s="77">
        <v>45548</v>
      </c>
      <c r="G611" s="78">
        <v>25356.5</v>
      </c>
      <c r="H611" s="27">
        <f t="shared" si="19"/>
        <v>-1.2761482380095812E-3</v>
      </c>
    </row>
    <row r="612" spans="2:8" x14ac:dyDescent="0.3">
      <c r="B612" s="132">
        <v>45551</v>
      </c>
      <c r="C612" s="78">
        <v>2855.73</v>
      </c>
      <c r="D612" s="27">
        <f t="shared" si="18"/>
        <v>-2.2452179151890291E-2</v>
      </c>
      <c r="F612" s="77">
        <v>45551</v>
      </c>
      <c r="G612" s="78">
        <v>25383.75</v>
      </c>
      <c r="H612" s="27">
        <f t="shared" si="19"/>
        <v>1.0746751326089958E-3</v>
      </c>
    </row>
    <row r="613" spans="2:8" x14ac:dyDescent="0.3">
      <c r="B613" s="132">
        <v>45552</v>
      </c>
      <c r="C613" s="78">
        <v>2862.1</v>
      </c>
      <c r="D613" s="27">
        <f t="shared" si="18"/>
        <v>2.2306030331998793E-3</v>
      </c>
      <c r="F613" s="77">
        <v>45552</v>
      </c>
      <c r="G613" s="78">
        <v>25418.55</v>
      </c>
      <c r="H613" s="27">
        <f t="shared" si="19"/>
        <v>1.3709558280395637E-3</v>
      </c>
    </row>
    <row r="614" spans="2:8" x14ac:dyDescent="0.3">
      <c r="B614" s="132">
        <v>45553</v>
      </c>
      <c r="C614" s="78">
        <v>2864.44</v>
      </c>
      <c r="D614" s="27">
        <f t="shared" si="18"/>
        <v>8.1758149610430993E-4</v>
      </c>
      <c r="F614" s="77">
        <v>45553</v>
      </c>
      <c r="G614" s="78">
        <v>25377.55</v>
      </c>
      <c r="H614" s="27">
        <f t="shared" si="19"/>
        <v>-1.612995233795791E-3</v>
      </c>
    </row>
    <row r="615" spans="2:8" x14ac:dyDescent="0.3">
      <c r="B615" s="132">
        <v>45554</v>
      </c>
      <c r="C615" s="78">
        <v>2900.2</v>
      </c>
      <c r="D615" s="27">
        <f t="shared" si="18"/>
        <v>1.2484115568837106E-2</v>
      </c>
      <c r="F615" s="77">
        <v>45554</v>
      </c>
      <c r="G615" s="78">
        <v>25415.8</v>
      </c>
      <c r="H615" s="27">
        <f t="shared" si="19"/>
        <v>1.5072376963103215E-3</v>
      </c>
    </row>
    <row r="616" spans="2:8" x14ac:dyDescent="0.3">
      <c r="B616" s="132">
        <v>45555</v>
      </c>
      <c r="C616" s="78">
        <v>2965.79</v>
      </c>
      <c r="D616" s="27">
        <f t="shared" si="18"/>
        <v>2.2615681677125767E-2</v>
      </c>
      <c r="F616" s="77">
        <v>45555</v>
      </c>
      <c r="G616" s="78">
        <v>25790.95</v>
      </c>
      <c r="H616" s="27">
        <f t="shared" si="19"/>
        <v>1.4760503308965348E-2</v>
      </c>
    </row>
    <row r="617" spans="2:8" x14ac:dyDescent="0.3">
      <c r="B617" s="132">
        <v>45558</v>
      </c>
      <c r="C617" s="78">
        <v>3016.54</v>
      </c>
      <c r="D617" s="27">
        <f t="shared" si="18"/>
        <v>1.711179820553714E-2</v>
      </c>
      <c r="F617" s="77">
        <v>45558</v>
      </c>
      <c r="G617" s="78">
        <v>25939.05</v>
      </c>
      <c r="H617" s="27">
        <f t="shared" si="19"/>
        <v>5.7423243424534007E-3</v>
      </c>
    </row>
    <row r="618" spans="2:8" x14ac:dyDescent="0.3">
      <c r="B618" s="132">
        <v>45559</v>
      </c>
      <c r="C618" s="78">
        <v>2938.85</v>
      </c>
      <c r="D618" s="27">
        <f t="shared" si="18"/>
        <v>-2.5754672571887016E-2</v>
      </c>
      <c r="F618" s="77">
        <v>45559</v>
      </c>
      <c r="G618" s="78">
        <v>25940.400000000001</v>
      </c>
      <c r="H618" s="27">
        <f t="shared" si="19"/>
        <v>5.2045082607195824E-5</v>
      </c>
    </row>
    <row r="619" spans="2:8" x14ac:dyDescent="0.3">
      <c r="B619" s="132">
        <v>45560</v>
      </c>
      <c r="C619" s="78">
        <v>2937.25</v>
      </c>
      <c r="D619" s="27">
        <f t="shared" si="18"/>
        <v>-5.4443064463987928E-4</v>
      </c>
      <c r="F619" s="77">
        <v>45560</v>
      </c>
      <c r="G619" s="78">
        <v>26004.15</v>
      </c>
      <c r="H619" s="27">
        <f t="shared" si="19"/>
        <v>2.4575565527131422E-3</v>
      </c>
    </row>
    <row r="620" spans="2:8" x14ac:dyDescent="0.3">
      <c r="B620" s="132">
        <v>45561</v>
      </c>
      <c r="C620" s="78">
        <v>2974.26</v>
      </c>
      <c r="D620" s="27">
        <f t="shared" si="18"/>
        <v>1.2600221295429473E-2</v>
      </c>
      <c r="F620" s="77">
        <v>45561</v>
      </c>
      <c r="G620" s="78">
        <v>26216.05</v>
      </c>
      <c r="H620" s="27">
        <f t="shared" si="19"/>
        <v>8.1486993422202926E-3</v>
      </c>
    </row>
    <row r="621" spans="2:8" x14ac:dyDescent="0.3">
      <c r="B621" s="132">
        <v>45562</v>
      </c>
      <c r="C621" s="78">
        <v>2954.49</v>
      </c>
      <c r="D621" s="27">
        <f t="shared" si="18"/>
        <v>-6.6470315305321107E-3</v>
      </c>
      <c r="F621" s="77">
        <v>45562</v>
      </c>
      <c r="G621" s="78">
        <v>26178.95</v>
      </c>
      <c r="H621" s="27">
        <f t="shared" si="19"/>
        <v>-1.4151636116042862E-3</v>
      </c>
    </row>
    <row r="622" spans="2:8" x14ac:dyDescent="0.3">
      <c r="B622" s="132">
        <v>45565</v>
      </c>
      <c r="C622" s="78">
        <v>2946.57</v>
      </c>
      <c r="D622" s="27">
        <f t="shared" si="18"/>
        <v>-2.6806656986483688E-3</v>
      </c>
      <c r="F622" s="77">
        <v>45565</v>
      </c>
      <c r="G622" s="78">
        <v>25810.85</v>
      </c>
      <c r="H622" s="27">
        <f t="shared" si="19"/>
        <v>-1.4060915353748036E-2</v>
      </c>
    </row>
    <row r="623" spans="2:8" x14ac:dyDescent="0.3">
      <c r="B623" s="132">
        <v>45566</v>
      </c>
      <c r="C623" s="78">
        <v>2912.15</v>
      </c>
      <c r="D623" s="27">
        <f t="shared" si="18"/>
        <v>-1.1681378687762405E-2</v>
      </c>
      <c r="F623" s="77">
        <v>45566</v>
      </c>
      <c r="G623" s="78">
        <v>25796.9</v>
      </c>
      <c r="H623" s="27">
        <f t="shared" si="19"/>
        <v>-5.4047038357888603E-4</v>
      </c>
    </row>
    <row r="624" spans="2:8" x14ac:dyDescent="0.3">
      <c r="B624" s="132">
        <v>45568</v>
      </c>
      <c r="C624" s="78">
        <v>2881.88</v>
      </c>
      <c r="D624" s="27">
        <f t="shared" si="18"/>
        <v>-1.0394382157512485E-2</v>
      </c>
      <c r="F624" s="77">
        <v>45568</v>
      </c>
      <c r="G624" s="78">
        <v>25250.1</v>
      </c>
      <c r="H624" s="27">
        <f t="shared" si="19"/>
        <v>-2.1196345297303278E-2</v>
      </c>
    </row>
    <row r="625" spans="2:8" x14ac:dyDescent="0.3">
      <c r="B625" s="132">
        <v>45569</v>
      </c>
      <c r="C625" s="78">
        <v>2837.45</v>
      </c>
      <c r="D625" s="27">
        <f t="shared" si="18"/>
        <v>-1.5417019445639753E-2</v>
      </c>
      <c r="F625" s="77">
        <v>45569</v>
      </c>
      <c r="G625" s="78">
        <v>25014.6</v>
      </c>
      <c r="H625" s="27">
        <f t="shared" si="19"/>
        <v>-9.3266957358584725E-3</v>
      </c>
    </row>
    <row r="626" spans="2:8" x14ac:dyDescent="0.3">
      <c r="B626" s="132">
        <v>45572</v>
      </c>
      <c r="C626" s="78">
        <v>2822.16</v>
      </c>
      <c r="D626" s="27">
        <f t="shared" si="18"/>
        <v>-5.3886412095367191E-3</v>
      </c>
      <c r="F626" s="77">
        <v>45572</v>
      </c>
      <c r="G626" s="78">
        <v>24795.75</v>
      </c>
      <c r="H626" s="27">
        <f t="shared" si="19"/>
        <v>-8.7488906478615912E-3</v>
      </c>
    </row>
    <row r="627" spans="2:8" x14ac:dyDescent="0.3">
      <c r="B627" s="132">
        <v>45573</v>
      </c>
      <c r="C627" s="78">
        <v>2807.62</v>
      </c>
      <c r="D627" s="27">
        <f t="shared" si="18"/>
        <v>-5.1520820931484981E-3</v>
      </c>
      <c r="F627" s="77">
        <v>45573</v>
      </c>
      <c r="G627" s="78">
        <v>25013.15</v>
      </c>
      <c r="H627" s="27">
        <f t="shared" si="19"/>
        <v>8.7676315497616109E-3</v>
      </c>
    </row>
    <row r="628" spans="2:8" x14ac:dyDescent="0.3">
      <c r="B628" s="132">
        <v>45574</v>
      </c>
      <c r="C628" s="78">
        <v>2757.97</v>
      </c>
      <c r="D628" s="27">
        <f t="shared" si="18"/>
        <v>-1.7684017067836847E-2</v>
      </c>
      <c r="F628" s="77">
        <v>45574</v>
      </c>
      <c r="G628" s="78">
        <v>24981.95</v>
      </c>
      <c r="H628" s="27">
        <f t="shared" si="19"/>
        <v>-1.2473438971101491E-3</v>
      </c>
    </row>
    <row r="629" spans="2:8" x14ac:dyDescent="0.3">
      <c r="B629" s="132">
        <v>45575</v>
      </c>
      <c r="C629" s="78">
        <v>2743.77</v>
      </c>
      <c r="D629" s="27">
        <f t="shared" si="18"/>
        <v>-5.1487144530215408E-3</v>
      </c>
      <c r="F629" s="77">
        <v>45575</v>
      </c>
      <c r="G629" s="78">
        <v>24998.45</v>
      </c>
      <c r="H629" s="27">
        <f t="shared" si="19"/>
        <v>6.604768642960217E-4</v>
      </c>
    </row>
    <row r="630" spans="2:8" x14ac:dyDescent="0.3">
      <c r="B630" s="132">
        <v>45576</v>
      </c>
      <c r="C630" s="78">
        <v>2772.16</v>
      </c>
      <c r="D630" s="27">
        <f t="shared" si="18"/>
        <v>1.0347077196703759E-2</v>
      </c>
      <c r="F630" s="77">
        <v>45576</v>
      </c>
      <c r="G630" s="78">
        <v>24964.25</v>
      </c>
      <c r="H630" s="27">
        <f t="shared" si="19"/>
        <v>-1.368084821258947E-3</v>
      </c>
    </row>
    <row r="631" spans="2:8" x14ac:dyDescent="0.3">
      <c r="B631" s="132">
        <v>45579</v>
      </c>
      <c r="C631" s="78">
        <v>2778.04</v>
      </c>
      <c r="D631" s="27">
        <f t="shared" si="18"/>
        <v>2.1210896917927208E-3</v>
      </c>
      <c r="F631" s="77">
        <v>45579</v>
      </c>
      <c r="G631" s="78">
        <v>25127.95</v>
      </c>
      <c r="H631" s="27">
        <f t="shared" si="19"/>
        <v>6.5573770491803574E-3</v>
      </c>
    </row>
    <row r="632" spans="2:8" x14ac:dyDescent="0.3">
      <c r="B632" s="132">
        <v>45580</v>
      </c>
      <c r="C632" s="78">
        <v>2770.42</v>
      </c>
      <c r="D632" s="27">
        <f t="shared" si="18"/>
        <v>-2.742941066363296E-3</v>
      </c>
      <c r="F632" s="77">
        <v>45580</v>
      </c>
      <c r="G632" s="78">
        <v>25057.35</v>
      </c>
      <c r="H632" s="27">
        <f t="shared" si="19"/>
        <v>-2.8096203629823435E-3</v>
      </c>
    </row>
    <row r="633" spans="2:8" x14ac:dyDescent="0.3">
      <c r="B633" s="132">
        <v>45581</v>
      </c>
      <c r="C633" s="78">
        <v>2770.22</v>
      </c>
      <c r="D633" s="27">
        <f t="shared" si="18"/>
        <v>-7.2191220103909464E-5</v>
      </c>
      <c r="F633" s="77">
        <v>45581</v>
      </c>
      <c r="G633" s="78">
        <v>24971.3</v>
      </c>
      <c r="H633" s="27">
        <f t="shared" si="19"/>
        <v>-3.4341221238478642E-3</v>
      </c>
    </row>
    <row r="634" spans="2:8" x14ac:dyDescent="0.3">
      <c r="B634" s="132">
        <v>45582</v>
      </c>
      <c r="C634" s="78">
        <v>2727.79</v>
      </c>
      <c r="D634" s="27">
        <f t="shared" si="18"/>
        <v>-1.5316473059901322E-2</v>
      </c>
      <c r="F634" s="77">
        <v>45582</v>
      </c>
      <c r="G634" s="78">
        <v>24749.85</v>
      </c>
      <c r="H634" s="27">
        <f t="shared" si="19"/>
        <v>-8.8681806714108087E-3</v>
      </c>
    </row>
    <row r="635" spans="2:8" x14ac:dyDescent="0.3">
      <c r="B635" s="132">
        <v>45583</v>
      </c>
      <c r="C635" s="78">
        <v>2706.32</v>
      </c>
      <c r="D635" s="27">
        <f t="shared" si="18"/>
        <v>-7.8708404972522815E-3</v>
      </c>
      <c r="F635" s="77">
        <v>45583</v>
      </c>
      <c r="G635" s="78">
        <v>24854.05</v>
      </c>
      <c r="H635" s="27">
        <f t="shared" si="19"/>
        <v>4.2101265260193789E-3</v>
      </c>
    </row>
    <row r="636" spans="2:8" x14ac:dyDescent="0.3">
      <c r="B636" s="132">
        <v>45586</v>
      </c>
      <c r="C636" s="78">
        <v>2682.87</v>
      </c>
      <c r="D636" s="27">
        <f t="shared" si="18"/>
        <v>-8.6649028939668159E-3</v>
      </c>
      <c r="F636" s="77">
        <v>45586</v>
      </c>
      <c r="G636" s="78">
        <v>24781.1</v>
      </c>
      <c r="H636" s="27">
        <f t="shared" si="19"/>
        <v>-2.9351353199981787E-3</v>
      </c>
    </row>
    <row r="637" spans="2:8" x14ac:dyDescent="0.3">
      <c r="B637" s="132">
        <v>45587</v>
      </c>
      <c r="C637" s="78">
        <v>2671.06</v>
      </c>
      <c r="D637" s="27">
        <f t="shared" si="18"/>
        <v>-4.4020023333221315E-3</v>
      </c>
      <c r="F637" s="77">
        <v>45587</v>
      </c>
      <c r="G637" s="78">
        <v>24472.1</v>
      </c>
      <c r="H637" s="27">
        <f t="shared" si="19"/>
        <v>-1.2469180141317376E-2</v>
      </c>
    </row>
    <row r="638" spans="2:8" x14ac:dyDescent="0.3">
      <c r="B638" s="132">
        <v>45588</v>
      </c>
      <c r="C638" s="78">
        <v>2648.75</v>
      </c>
      <c r="D638" s="27">
        <f t="shared" si="18"/>
        <v>-8.3524892739211942E-3</v>
      </c>
      <c r="F638" s="77">
        <v>45588</v>
      </c>
      <c r="G638" s="78">
        <v>24435.5</v>
      </c>
      <c r="H638" s="27">
        <f t="shared" si="19"/>
        <v>-1.4955806816741737E-3</v>
      </c>
    </row>
    <row r="639" spans="2:8" x14ac:dyDescent="0.3">
      <c r="B639" s="132">
        <v>45589</v>
      </c>
      <c r="C639" s="78">
        <v>2495.17</v>
      </c>
      <c r="D639" s="27">
        <f t="shared" si="18"/>
        <v>-5.7982067012741834E-2</v>
      </c>
      <c r="F639" s="77">
        <v>45589</v>
      </c>
      <c r="G639" s="78">
        <v>24399.4</v>
      </c>
      <c r="H639" s="27">
        <f t="shared" si="19"/>
        <v>-1.4773587608192403E-3</v>
      </c>
    </row>
    <row r="640" spans="2:8" x14ac:dyDescent="0.3">
      <c r="B640" s="132">
        <v>45590</v>
      </c>
      <c r="C640" s="78">
        <v>2518.02</v>
      </c>
      <c r="D640" s="27">
        <f t="shared" si="18"/>
        <v>9.1576926622233788E-3</v>
      </c>
      <c r="F640" s="77">
        <v>45590</v>
      </c>
      <c r="G640" s="78">
        <v>24180.799999999999</v>
      </c>
      <c r="H640" s="27">
        <f t="shared" si="19"/>
        <v>-8.9592367025419541E-3</v>
      </c>
    </row>
    <row r="641" spans="2:8" x14ac:dyDescent="0.3">
      <c r="B641" s="132">
        <v>45593</v>
      </c>
      <c r="C641" s="78">
        <v>2565.58</v>
      </c>
      <c r="D641" s="27">
        <f t="shared" si="18"/>
        <v>1.8887856331562078E-2</v>
      </c>
      <c r="F641" s="77">
        <v>45593</v>
      </c>
      <c r="G641" s="78">
        <v>24339.15</v>
      </c>
      <c r="H641" s="27">
        <f t="shared" si="19"/>
        <v>6.5485840005294364E-3</v>
      </c>
    </row>
    <row r="642" spans="2:8" x14ac:dyDescent="0.3">
      <c r="B642" s="132">
        <v>45594</v>
      </c>
      <c r="C642" s="78">
        <v>2537.5500000000002</v>
      </c>
      <c r="D642" s="27">
        <f t="shared" si="18"/>
        <v>-1.0925404781764647E-2</v>
      </c>
      <c r="F642" s="77">
        <v>45594</v>
      </c>
      <c r="G642" s="78">
        <v>24466.85</v>
      </c>
      <c r="H642" s="27">
        <f t="shared" si="19"/>
        <v>5.2466910307055539E-3</v>
      </c>
    </row>
    <row r="643" spans="2:8" x14ac:dyDescent="0.3">
      <c r="B643" s="132">
        <v>45595</v>
      </c>
      <c r="C643" s="78">
        <v>2544.8200000000002</v>
      </c>
      <c r="D643" s="27">
        <f t="shared" si="18"/>
        <v>2.8649681779669292E-3</v>
      </c>
      <c r="F643" s="77">
        <v>45595</v>
      </c>
      <c r="G643" s="78">
        <v>24340.85</v>
      </c>
      <c r="H643" s="27">
        <f t="shared" si="19"/>
        <v>-5.1498251716097501E-3</v>
      </c>
    </row>
    <row r="644" spans="2:8" x14ac:dyDescent="0.3">
      <c r="B644" s="132">
        <v>45596</v>
      </c>
      <c r="C644" s="78">
        <v>2518.2199999999998</v>
      </c>
      <c r="D644" s="27">
        <f t="shared" si="18"/>
        <v>-1.0452605685274542E-2</v>
      </c>
      <c r="F644" s="77">
        <v>45596</v>
      </c>
      <c r="G644" s="78">
        <v>24205.35</v>
      </c>
      <c r="H644" s="27">
        <f t="shared" si="19"/>
        <v>-5.5667735514577351E-3</v>
      </c>
    </row>
    <row r="645" spans="2:8" x14ac:dyDescent="0.3">
      <c r="B645" s="132">
        <v>45597</v>
      </c>
      <c r="C645" s="78">
        <v>2527.44</v>
      </c>
      <c r="D645" s="27">
        <f t="shared" ref="D645:D708" si="20">(C645-C644)/C644</f>
        <v>3.6613163266117558E-3</v>
      </c>
      <c r="F645" s="77">
        <v>45597</v>
      </c>
      <c r="G645" s="78">
        <v>24304.35</v>
      </c>
      <c r="H645" s="27">
        <f t="shared" ref="H645:H708" si="21">(G645-G644)/G644</f>
        <v>4.0900048956119209E-3</v>
      </c>
    </row>
    <row r="646" spans="2:8" x14ac:dyDescent="0.3">
      <c r="B646" s="132">
        <v>45600</v>
      </c>
      <c r="C646" s="78">
        <v>2514.79</v>
      </c>
      <c r="D646" s="27">
        <f t="shared" si="20"/>
        <v>-5.0050644130029166E-3</v>
      </c>
      <c r="F646" s="77">
        <v>45600</v>
      </c>
      <c r="G646" s="78">
        <v>23995.35</v>
      </c>
      <c r="H646" s="27">
        <f t="shared" si="21"/>
        <v>-1.2713773460306488E-2</v>
      </c>
    </row>
    <row r="647" spans="2:8" x14ac:dyDescent="0.3">
      <c r="B647" s="132">
        <v>45601</v>
      </c>
      <c r="C647" s="78">
        <v>2511.35</v>
      </c>
      <c r="D647" s="27">
        <f t="shared" si="20"/>
        <v>-1.3679074594697986E-3</v>
      </c>
      <c r="F647" s="77">
        <v>45601</v>
      </c>
      <c r="G647" s="78">
        <v>24213.3</v>
      </c>
      <c r="H647" s="27">
        <f t="shared" si="21"/>
        <v>9.0830098331552041E-3</v>
      </c>
    </row>
    <row r="648" spans="2:8" x14ac:dyDescent="0.3">
      <c r="B648" s="132">
        <v>45602</v>
      </c>
      <c r="C648" s="78">
        <v>2500.6999999999998</v>
      </c>
      <c r="D648" s="27">
        <f t="shared" si="20"/>
        <v>-4.2407470085810781E-3</v>
      </c>
      <c r="F648" s="77">
        <v>45602</v>
      </c>
      <c r="G648" s="78">
        <v>24484.05</v>
      </c>
      <c r="H648" s="27">
        <f t="shared" si="21"/>
        <v>1.1181871120417292E-2</v>
      </c>
    </row>
    <row r="649" spans="2:8" x14ac:dyDescent="0.3">
      <c r="B649" s="132">
        <v>45603</v>
      </c>
      <c r="C649" s="78">
        <v>2475.5</v>
      </c>
      <c r="D649" s="27">
        <f t="shared" si="20"/>
        <v>-1.0077178390050713E-2</v>
      </c>
      <c r="F649" s="77">
        <v>45603</v>
      </c>
      <c r="G649" s="78">
        <v>24199.35</v>
      </c>
      <c r="H649" s="27">
        <f t="shared" si="21"/>
        <v>-1.162797821438858E-2</v>
      </c>
    </row>
    <row r="650" spans="2:8" x14ac:dyDescent="0.3">
      <c r="B650" s="132">
        <v>45604</v>
      </c>
      <c r="C650" s="78">
        <v>2507.6999999999998</v>
      </c>
      <c r="D650" s="27">
        <f t="shared" si="20"/>
        <v>1.3007473237729678E-2</v>
      </c>
      <c r="F650" s="77">
        <v>45604</v>
      </c>
      <c r="G650" s="78">
        <v>24148.2</v>
      </c>
      <c r="H650" s="27">
        <f t="shared" si="21"/>
        <v>-2.1136931363858044E-3</v>
      </c>
    </row>
    <row r="651" spans="2:8" x14ac:dyDescent="0.3">
      <c r="B651" s="132">
        <v>45607</v>
      </c>
      <c r="C651" s="78">
        <v>2491.0500000000002</v>
      </c>
      <c r="D651" s="27">
        <f t="shared" si="20"/>
        <v>-6.6395501854287341E-3</v>
      </c>
      <c r="F651" s="77">
        <v>45607</v>
      </c>
      <c r="G651" s="78">
        <v>24141.3</v>
      </c>
      <c r="H651" s="27">
        <f t="shared" si="21"/>
        <v>-2.8573558277641628E-4</v>
      </c>
    </row>
    <row r="652" spans="2:8" x14ac:dyDescent="0.3">
      <c r="B652" s="132">
        <v>45608</v>
      </c>
      <c r="C652" s="78">
        <v>2461.5</v>
      </c>
      <c r="D652" s="27">
        <f t="shared" si="20"/>
        <v>-1.1862467634130259E-2</v>
      </c>
      <c r="F652" s="77">
        <v>45608</v>
      </c>
      <c r="G652" s="78">
        <v>23883.45</v>
      </c>
      <c r="H652" s="27">
        <f t="shared" si="21"/>
        <v>-1.0680866399075383E-2</v>
      </c>
    </row>
    <row r="653" spans="2:8" x14ac:dyDescent="0.3">
      <c r="B653" s="132">
        <v>45609</v>
      </c>
      <c r="C653" s="78">
        <v>2464.9499999999998</v>
      </c>
      <c r="D653" s="27">
        <f t="shared" si="20"/>
        <v>1.4015843997561724E-3</v>
      </c>
      <c r="F653" s="77">
        <v>45609</v>
      </c>
      <c r="G653" s="78">
        <v>23559.05</v>
      </c>
      <c r="H653" s="27">
        <f t="shared" si="21"/>
        <v>-1.3582627300494754E-2</v>
      </c>
    </row>
    <row r="654" spans="2:8" x14ac:dyDescent="0.3">
      <c r="B654" s="132">
        <v>45610</v>
      </c>
      <c r="C654" s="78">
        <v>2389.1999999999998</v>
      </c>
      <c r="D654" s="27">
        <f t="shared" si="20"/>
        <v>-3.0730846467473989E-2</v>
      </c>
      <c r="F654" s="77">
        <v>45610</v>
      </c>
      <c r="G654" s="78">
        <v>23532.7</v>
      </c>
      <c r="H654" s="27">
        <f t="shared" si="21"/>
        <v>-1.118466152073133E-3</v>
      </c>
    </row>
    <row r="655" spans="2:8" x14ac:dyDescent="0.3">
      <c r="B655" s="132">
        <v>45614</v>
      </c>
      <c r="C655" s="78">
        <v>2422.9</v>
      </c>
      <c r="D655" s="27">
        <f t="shared" si="20"/>
        <v>1.4105139795747646E-2</v>
      </c>
      <c r="F655" s="77">
        <v>45614</v>
      </c>
      <c r="G655" s="78">
        <v>23453.8</v>
      </c>
      <c r="H655" s="27">
        <f t="shared" si="21"/>
        <v>-3.3527814487925929E-3</v>
      </c>
    </row>
    <row r="656" spans="2:8" x14ac:dyDescent="0.3">
      <c r="B656" s="132">
        <v>45615</v>
      </c>
      <c r="C656" s="78">
        <v>2410.35</v>
      </c>
      <c r="D656" s="27">
        <f t="shared" si="20"/>
        <v>-5.1797432828429493E-3</v>
      </c>
      <c r="F656" s="77">
        <v>45615</v>
      </c>
      <c r="G656" s="78">
        <v>23518.5</v>
      </c>
      <c r="H656" s="27">
        <f t="shared" si="21"/>
        <v>2.7586148086877491E-3</v>
      </c>
    </row>
    <row r="657" spans="2:8" x14ac:dyDescent="0.3">
      <c r="B657" s="132">
        <v>45617</v>
      </c>
      <c r="C657" s="78">
        <v>2382.8000000000002</v>
      </c>
      <c r="D657" s="27">
        <f t="shared" si="20"/>
        <v>-1.1429875329308909E-2</v>
      </c>
      <c r="F657" s="77">
        <v>45617</v>
      </c>
      <c r="G657" s="78">
        <v>23349.9</v>
      </c>
      <c r="H657" s="27">
        <f t="shared" si="21"/>
        <v>-7.1688245423814677E-3</v>
      </c>
    </row>
    <row r="658" spans="2:8" x14ac:dyDescent="0.3">
      <c r="B658" s="132">
        <v>45618</v>
      </c>
      <c r="C658" s="78">
        <v>2445.25</v>
      </c>
      <c r="D658" s="27">
        <f t="shared" si="20"/>
        <v>2.6208662078227217E-2</v>
      </c>
      <c r="F658" s="77">
        <v>45618</v>
      </c>
      <c r="G658" s="78">
        <v>23907.25</v>
      </c>
      <c r="H658" s="27">
        <f t="shared" si="21"/>
        <v>2.3869481239748285E-2</v>
      </c>
    </row>
    <row r="659" spans="2:8" x14ac:dyDescent="0.3">
      <c r="B659" s="132">
        <v>45621</v>
      </c>
      <c r="C659" s="78">
        <v>2471.4499999999998</v>
      </c>
      <c r="D659" s="27">
        <f t="shared" si="20"/>
        <v>1.0714650853695867E-2</v>
      </c>
      <c r="F659" s="77">
        <v>45621</v>
      </c>
      <c r="G659" s="78">
        <v>24221.9</v>
      </c>
      <c r="H659" s="27">
        <f t="shared" si="21"/>
        <v>1.316127952817666E-2</v>
      </c>
    </row>
    <row r="660" spans="2:8" x14ac:dyDescent="0.3">
      <c r="B660" s="132">
        <v>45622</v>
      </c>
      <c r="C660" s="78">
        <v>2479.1999999999998</v>
      </c>
      <c r="D660" s="27">
        <f t="shared" si="20"/>
        <v>3.1358109611766376E-3</v>
      </c>
      <c r="F660" s="77">
        <v>45622</v>
      </c>
      <c r="G660" s="78">
        <v>24194.5</v>
      </c>
      <c r="H660" s="27">
        <f t="shared" si="21"/>
        <v>-1.1312077087264605E-3</v>
      </c>
    </row>
    <row r="661" spans="2:8" x14ac:dyDescent="0.3">
      <c r="B661" s="132">
        <v>45623</v>
      </c>
      <c r="C661" s="78">
        <v>2486.9</v>
      </c>
      <c r="D661" s="27">
        <f t="shared" si="20"/>
        <v>3.1058405937400262E-3</v>
      </c>
      <c r="F661" s="77">
        <v>45623</v>
      </c>
      <c r="G661" s="78">
        <v>24274.9</v>
      </c>
      <c r="H661" s="27">
        <f t="shared" si="21"/>
        <v>3.3230692926078842E-3</v>
      </c>
    </row>
    <row r="662" spans="2:8" x14ac:dyDescent="0.3">
      <c r="B662" s="132">
        <v>45624</v>
      </c>
      <c r="C662" s="78">
        <v>2462.1999999999998</v>
      </c>
      <c r="D662" s="27">
        <f t="shared" si="20"/>
        <v>-9.9320439100889744E-3</v>
      </c>
      <c r="F662" s="77">
        <v>45624</v>
      </c>
      <c r="G662" s="78">
        <v>23914.15</v>
      </c>
      <c r="H662" s="27">
        <f t="shared" si="21"/>
        <v>-1.4861029293632517E-2</v>
      </c>
    </row>
    <row r="663" spans="2:8" x14ac:dyDescent="0.3">
      <c r="B663" s="132">
        <v>45625</v>
      </c>
      <c r="C663" s="78">
        <v>2496.15</v>
      </c>
      <c r="D663" s="27">
        <f t="shared" si="20"/>
        <v>1.3788481845504132E-2</v>
      </c>
      <c r="F663" s="77">
        <v>45625</v>
      </c>
      <c r="G663" s="78">
        <v>24131.1</v>
      </c>
      <c r="H663" s="27">
        <f t="shared" si="21"/>
        <v>9.072034757664273E-3</v>
      </c>
    </row>
    <row r="664" spans="2:8" x14ac:dyDescent="0.3">
      <c r="B664" s="132">
        <v>45628</v>
      </c>
      <c r="C664" s="78">
        <v>2479.15</v>
      </c>
      <c r="D664" s="27">
        <f t="shared" si="20"/>
        <v>-6.8104881517537007E-3</v>
      </c>
      <c r="F664" s="77">
        <v>45628</v>
      </c>
      <c r="G664" s="78">
        <v>24276.05</v>
      </c>
      <c r="H664" s="27">
        <f t="shared" si="21"/>
        <v>6.0067713448620549E-3</v>
      </c>
    </row>
    <row r="665" spans="2:8" x14ac:dyDescent="0.3">
      <c r="B665" s="132">
        <v>45629</v>
      </c>
      <c r="C665" s="78">
        <v>2482.85</v>
      </c>
      <c r="D665" s="27">
        <f t="shared" si="20"/>
        <v>1.4924470080470394E-3</v>
      </c>
      <c r="F665" s="77">
        <v>45629</v>
      </c>
      <c r="G665" s="78">
        <v>24457.15</v>
      </c>
      <c r="H665" s="27">
        <f t="shared" si="21"/>
        <v>7.4600274756396606E-3</v>
      </c>
    </row>
    <row r="666" spans="2:8" x14ac:dyDescent="0.3">
      <c r="B666" s="132">
        <v>45630</v>
      </c>
      <c r="C666" s="78">
        <v>2464.5</v>
      </c>
      <c r="D666" s="27">
        <f t="shared" si="20"/>
        <v>-7.3907002033952555E-3</v>
      </c>
      <c r="F666" s="77">
        <v>45630</v>
      </c>
      <c r="G666" s="78">
        <v>24467.45</v>
      </c>
      <c r="H666" s="27">
        <f t="shared" si="21"/>
        <v>4.2114473681517558E-4</v>
      </c>
    </row>
    <row r="667" spans="2:8" x14ac:dyDescent="0.3">
      <c r="B667" s="132">
        <v>45631</v>
      </c>
      <c r="C667" s="78">
        <v>2494.6</v>
      </c>
      <c r="D667" s="27">
        <f t="shared" si="20"/>
        <v>1.2213430716169572E-2</v>
      </c>
      <c r="F667" s="77">
        <v>45631</v>
      </c>
      <c r="G667" s="78">
        <v>24708.400000000001</v>
      </c>
      <c r="H667" s="27">
        <f t="shared" si="21"/>
        <v>9.8477773531774147E-3</v>
      </c>
    </row>
    <row r="668" spans="2:8" x14ac:dyDescent="0.3">
      <c r="B668" s="132">
        <v>45632</v>
      </c>
      <c r="C668" s="78">
        <v>2483.8000000000002</v>
      </c>
      <c r="D668" s="27">
        <f t="shared" si="20"/>
        <v>-4.3293513990217778E-3</v>
      </c>
      <c r="F668" s="77">
        <v>45632</v>
      </c>
      <c r="G668" s="78">
        <v>24677.8</v>
      </c>
      <c r="H668" s="27">
        <f t="shared" si="21"/>
        <v>-1.2384452251057204E-3</v>
      </c>
    </row>
    <row r="669" spans="2:8" x14ac:dyDescent="0.3">
      <c r="B669" s="132">
        <v>45635</v>
      </c>
      <c r="C669" s="78">
        <v>2400.75</v>
      </c>
      <c r="D669" s="27">
        <f t="shared" si="20"/>
        <v>-3.3436669619132046E-2</v>
      </c>
      <c r="F669" s="77">
        <v>45635</v>
      </c>
      <c r="G669" s="78">
        <v>24619</v>
      </c>
      <c r="H669" s="27">
        <f t="shared" si="21"/>
        <v>-2.3827083451522938E-3</v>
      </c>
    </row>
    <row r="670" spans="2:8" x14ac:dyDescent="0.3">
      <c r="B670" s="132">
        <v>45636</v>
      </c>
      <c r="C670" s="78">
        <v>2397.35</v>
      </c>
      <c r="D670" s="27">
        <f t="shared" si="20"/>
        <v>-1.4162240966365057E-3</v>
      </c>
      <c r="F670" s="77">
        <v>45636</v>
      </c>
      <c r="G670" s="78">
        <v>24610.05</v>
      </c>
      <c r="H670" s="27">
        <f t="shared" si="21"/>
        <v>-3.6354035501038739E-4</v>
      </c>
    </row>
    <row r="671" spans="2:8" x14ac:dyDescent="0.3">
      <c r="B671" s="132">
        <v>45637</v>
      </c>
      <c r="C671" s="78">
        <v>2401.35</v>
      </c>
      <c r="D671" s="27">
        <f t="shared" si="20"/>
        <v>1.6685089786639415E-3</v>
      </c>
      <c r="F671" s="77">
        <v>45637</v>
      </c>
      <c r="G671" s="78">
        <v>24641.8</v>
      </c>
      <c r="H671" s="27">
        <f t="shared" si="21"/>
        <v>1.29012334391844E-3</v>
      </c>
    </row>
    <row r="672" spans="2:8" x14ac:dyDescent="0.3">
      <c r="B672" s="132">
        <v>45638</v>
      </c>
      <c r="C672" s="78">
        <v>2344.9499999999998</v>
      </c>
      <c r="D672" s="27">
        <f t="shared" si="20"/>
        <v>-2.348678868136677E-2</v>
      </c>
      <c r="F672" s="77">
        <v>45638</v>
      </c>
      <c r="G672" s="78">
        <v>24548.7</v>
      </c>
      <c r="H672" s="27">
        <f t="shared" si="21"/>
        <v>-3.77813309092674E-3</v>
      </c>
    </row>
    <row r="673" spans="2:8" x14ac:dyDescent="0.3">
      <c r="B673" s="132">
        <v>45639</v>
      </c>
      <c r="C673" s="78">
        <v>2390.1</v>
      </c>
      <c r="D673" s="27">
        <f t="shared" si="20"/>
        <v>1.9254141879357808E-2</v>
      </c>
      <c r="F673" s="77">
        <v>45639</v>
      </c>
      <c r="G673" s="78">
        <v>24768.3</v>
      </c>
      <c r="H673" s="27">
        <f t="shared" si="21"/>
        <v>8.9454838749098136E-3</v>
      </c>
    </row>
    <row r="674" spans="2:8" x14ac:dyDescent="0.3">
      <c r="B674" s="132">
        <v>45642</v>
      </c>
      <c r="C674" s="78">
        <v>2366.15</v>
      </c>
      <c r="D674" s="27">
        <f t="shared" si="20"/>
        <v>-1.0020501234257906E-2</v>
      </c>
      <c r="F674" s="77">
        <v>45642</v>
      </c>
      <c r="G674" s="78">
        <v>24668.25</v>
      </c>
      <c r="H674" s="27">
        <f t="shared" si="21"/>
        <v>-4.0394375068131148E-3</v>
      </c>
    </row>
    <row r="675" spans="2:8" x14ac:dyDescent="0.3">
      <c r="B675" s="132">
        <v>45643</v>
      </c>
      <c r="C675" s="78">
        <v>2363.25</v>
      </c>
      <c r="D675" s="27">
        <f t="shared" si="20"/>
        <v>-1.2256196775352749E-3</v>
      </c>
      <c r="F675" s="77">
        <v>45643</v>
      </c>
      <c r="G675" s="78">
        <v>24336</v>
      </c>
      <c r="H675" s="27">
        <f t="shared" si="21"/>
        <v>-1.3468730047733423E-2</v>
      </c>
    </row>
    <row r="676" spans="2:8" x14ac:dyDescent="0.3">
      <c r="B676" s="132">
        <v>45644</v>
      </c>
      <c r="C676" s="78">
        <v>2359.1999999999998</v>
      </c>
      <c r="D676" s="27">
        <f t="shared" si="20"/>
        <v>-1.7137416693114066E-3</v>
      </c>
      <c r="F676" s="77">
        <v>45644</v>
      </c>
      <c r="G676" s="78">
        <v>24198.85</v>
      </c>
      <c r="H676" s="27">
        <f t="shared" si="21"/>
        <v>-5.6356837606838205E-3</v>
      </c>
    </row>
    <row r="677" spans="2:8" x14ac:dyDescent="0.3">
      <c r="B677" s="132">
        <v>45645</v>
      </c>
      <c r="C677" s="78">
        <v>2359.85</v>
      </c>
      <c r="D677" s="27">
        <f t="shared" si="20"/>
        <v>2.7551712444900435E-4</v>
      </c>
      <c r="F677" s="77">
        <v>45645</v>
      </c>
      <c r="G677" s="78">
        <v>23951.7</v>
      </c>
      <c r="H677" s="27">
        <f t="shared" si="21"/>
        <v>-1.0213295259898624E-2</v>
      </c>
    </row>
    <row r="678" spans="2:8" x14ac:dyDescent="0.3">
      <c r="B678" s="132">
        <v>45646</v>
      </c>
      <c r="C678" s="78">
        <v>2333.9</v>
      </c>
      <c r="D678" s="27">
        <f t="shared" si="20"/>
        <v>-1.0996461639510909E-2</v>
      </c>
      <c r="F678" s="77">
        <v>45646</v>
      </c>
      <c r="G678" s="78">
        <v>23587.5</v>
      </c>
      <c r="H678" s="27">
        <f t="shared" si="21"/>
        <v>-1.520560127256106E-2</v>
      </c>
    </row>
    <row r="679" spans="2:8" x14ac:dyDescent="0.3">
      <c r="B679" s="132">
        <v>45649</v>
      </c>
      <c r="C679" s="78">
        <v>2338.9</v>
      </c>
      <c r="D679" s="27">
        <f t="shared" si="20"/>
        <v>2.1423368610480309E-3</v>
      </c>
      <c r="F679" s="77">
        <v>45649</v>
      </c>
      <c r="G679" s="78">
        <v>23753.45</v>
      </c>
      <c r="H679" s="27">
        <f t="shared" si="21"/>
        <v>7.0355060943296547E-3</v>
      </c>
    </row>
    <row r="680" spans="2:8" x14ac:dyDescent="0.3">
      <c r="B680" s="132">
        <v>45650</v>
      </c>
      <c r="C680" s="78">
        <v>2335.5500000000002</v>
      </c>
      <c r="D680" s="27">
        <f t="shared" si="20"/>
        <v>-1.4322972337423186E-3</v>
      </c>
      <c r="F680" s="77">
        <v>45650</v>
      </c>
      <c r="G680" s="78">
        <v>23727.65</v>
      </c>
      <c r="H680" s="27">
        <f t="shared" si="21"/>
        <v>-1.0861580107310422E-3</v>
      </c>
    </row>
    <row r="681" spans="2:8" x14ac:dyDescent="0.3">
      <c r="B681" s="132">
        <v>45652</v>
      </c>
      <c r="C681" s="78">
        <v>2332.75</v>
      </c>
      <c r="D681" s="27">
        <f t="shared" si="20"/>
        <v>-1.1988610819722043E-3</v>
      </c>
      <c r="F681" s="77">
        <v>45652</v>
      </c>
      <c r="G681" s="78">
        <v>23750.2</v>
      </c>
      <c r="H681" s="27">
        <f t="shared" si="21"/>
        <v>9.5036803054660999E-4</v>
      </c>
    </row>
    <row r="682" spans="2:8" x14ac:dyDescent="0.3">
      <c r="B682" s="132">
        <v>45653</v>
      </c>
      <c r="C682" s="78">
        <v>2341.25</v>
      </c>
      <c r="D682" s="27">
        <f t="shared" si="20"/>
        <v>3.6437680848783625E-3</v>
      </c>
      <c r="F682" s="77">
        <v>45653</v>
      </c>
      <c r="G682" s="78">
        <v>23813.4</v>
      </c>
      <c r="H682" s="27">
        <f t="shared" si="21"/>
        <v>2.6610302229034166E-3</v>
      </c>
    </row>
    <row r="683" spans="2:8" x14ac:dyDescent="0.3">
      <c r="B683" s="132">
        <v>45656</v>
      </c>
      <c r="C683" s="78">
        <v>2343.5</v>
      </c>
      <c r="D683" s="27">
        <f t="shared" si="20"/>
        <v>9.6102509343299518E-4</v>
      </c>
      <c r="F683" s="77">
        <v>45656</v>
      </c>
      <c r="G683" s="78">
        <v>23644.9</v>
      </c>
      <c r="H683" s="27">
        <f t="shared" si="21"/>
        <v>-7.0758480519371439E-3</v>
      </c>
    </row>
    <row r="684" spans="2:8" x14ac:dyDescent="0.3">
      <c r="B684" s="132">
        <v>45657</v>
      </c>
      <c r="C684" s="78">
        <v>2326.85</v>
      </c>
      <c r="D684" s="27">
        <f t="shared" si="20"/>
        <v>-7.104757840836395E-3</v>
      </c>
      <c r="F684" s="77">
        <v>45657</v>
      </c>
      <c r="G684" s="78">
        <v>23644.799999999999</v>
      </c>
      <c r="H684" s="27">
        <f t="shared" si="21"/>
        <v>-4.2292418239105594E-6</v>
      </c>
    </row>
    <row r="685" spans="2:8" x14ac:dyDescent="0.3">
      <c r="B685" s="132">
        <v>45658</v>
      </c>
      <c r="C685" s="78">
        <v>2322.1</v>
      </c>
      <c r="D685" s="27">
        <f t="shared" si="20"/>
        <v>-2.0413864237058686E-3</v>
      </c>
      <c r="F685" s="77">
        <v>45658</v>
      </c>
      <c r="G685" s="78">
        <v>23742.9</v>
      </c>
      <c r="H685" s="27">
        <f t="shared" si="21"/>
        <v>4.1489037758831622E-3</v>
      </c>
    </row>
    <row r="686" spans="2:8" x14ac:dyDescent="0.3">
      <c r="B686" s="132">
        <v>45659</v>
      </c>
      <c r="C686" s="78">
        <v>2370</v>
      </c>
      <c r="D686" s="27">
        <f t="shared" si="20"/>
        <v>2.0627879936264627E-2</v>
      </c>
      <c r="F686" s="77">
        <v>45659</v>
      </c>
      <c r="G686" s="78">
        <v>24188.65</v>
      </c>
      <c r="H686" s="27">
        <f t="shared" si="21"/>
        <v>1.8774033500541212E-2</v>
      </c>
    </row>
    <row r="687" spans="2:8" x14ac:dyDescent="0.3">
      <c r="B687" s="132">
        <v>45660</v>
      </c>
      <c r="C687" s="78">
        <v>2406.25</v>
      </c>
      <c r="D687" s="27">
        <f t="shared" si="20"/>
        <v>1.529535864978903E-2</v>
      </c>
      <c r="F687" s="77">
        <v>45660</v>
      </c>
      <c r="G687" s="78">
        <v>24004.75</v>
      </c>
      <c r="H687" s="27">
        <f t="shared" si="21"/>
        <v>-7.6027393012839265E-3</v>
      </c>
    </row>
    <row r="688" spans="2:8" x14ac:dyDescent="0.3">
      <c r="B688" s="132">
        <v>45663</v>
      </c>
      <c r="C688" s="78">
        <v>2376.1999999999998</v>
      </c>
      <c r="D688" s="27">
        <f t="shared" si="20"/>
        <v>-1.2488311688311764E-2</v>
      </c>
      <c r="F688" s="77">
        <v>45663</v>
      </c>
      <c r="G688" s="78">
        <v>23616.05</v>
      </c>
      <c r="H688" s="27">
        <f t="shared" si="21"/>
        <v>-1.6192628542267707E-2</v>
      </c>
    </row>
    <row r="689" spans="2:8" x14ac:dyDescent="0.3">
      <c r="B689" s="132">
        <v>45664</v>
      </c>
      <c r="C689" s="78">
        <v>2390.8000000000002</v>
      </c>
      <c r="D689" s="27">
        <f t="shared" si="20"/>
        <v>6.1442639508460422E-3</v>
      </c>
      <c r="F689" s="77">
        <v>45664</v>
      </c>
      <c r="G689" s="78">
        <v>23707.9</v>
      </c>
      <c r="H689" s="27">
        <f t="shared" si="21"/>
        <v>3.889304096155038E-3</v>
      </c>
    </row>
    <row r="690" spans="2:8" x14ac:dyDescent="0.3">
      <c r="B690" s="132">
        <v>45665</v>
      </c>
      <c r="C690" s="78">
        <v>2401</v>
      </c>
      <c r="D690" s="27">
        <f t="shared" si="20"/>
        <v>4.2663543583736901E-3</v>
      </c>
      <c r="F690" s="77">
        <v>45665</v>
      </c>
      <c r="G690" s="78">
        <v>23688.95</v>
      </c>
      <c r="H690" s="27">
        <f t="shared" si="21"/>
        <v>-7.9931162186447249E-4</v>
      </c>
    </row>
    <row r="691" spans="2:8" x14ac:dyDescent="0.3">
      <c r="B691" s="132">
        <v>45666</v>
      </c>
      <c r="C691" s="78">
        <v>2435.4</v>
      </c>
      <c r="D691" s="27">
        <f t="shared" si="20"/>
        <v>1.4327363598500663E-2</v>
      </c>
      <c r="F691" s="77">
        <v>45666</v>
      </c>
      <c r="G691" s="78">
        <v>23526.5</v>
      </c>
      <c r="H691" s="27">
        <f t="shared" si="21"/>
        <v>-6.8576277124988956E-3</v>
      </c>
    </row>
    <row r="692" spans="2:8" x14ac:dyDescent="0.3">
      <c r="B692" s="132">
        <v>45667</v>
      </c>
      <c r="C692" s="78">
        <v>2442.0500000000002</v>
      </c>
      <c r="D692" s="27">
        <f t="shared" si="20"/>
        <v>2.7305576086064263E-3</v>
      </c>
      <c r="F692" s="77">
        <v>45667</v>
      </c>
      <c r="G692" s="78">
        <v>23431.5</v>
      </c>
      <c r="H692" s="27">
        <f t="shared" si="21"/>
        <v>-4.0379997024631801E-3</v>
      </c>
    </row>
    <row r="693" spans="2:8" x14ac:dyDescent="0.3">
      <c r="B693" s="132">
        <v>45670</v>
      </c>
      <c r="C693" s="78">
        <v>2451</v>
      </c>
      <c r="D693" s="27">
        <f t="shared" si="20"/>
        <v>3.6649536250280778E-3</v>
      </c>
      <c r="F693" s="77">
        <v>45670</v>
      </c>
      <c r="G693" s="78">
        <v>23085.95</v>
      </c>
      <c r="H693" s="27">
        <f t="shared" si="21"/>
        <v>-1.4747241960608552E-2</v>
      </c>
    </row>
    <row r="694" spans="2:8" x14ac:dyDescent="0.3">
      <c r="B694" s="132">
        <v>45671</v>
      </c>
      <c r="C694" s="78">
        <v>2367.9499999999998</v>
      </c>
      <c r="D694" s="27">
        <f t="shared" si="20"/>
        <v>-3.3884128926968661E-2</v>
      </c>
      <c r="F694" s="77">
        <v>45671</v>
      </c>
      <c r="G694" s="78">
        <v>23176.05</v>
      </c>
      <c r="H694" s="27">
        <f t="shared" si="21"/>
        <v>3.9028066854514777E-3</v>
      </c>
    </row>
    <row r="695" spans="2:8" x14ac:dyDescent="0.3">
      <c r="B695" s="132">
        <v>45672</v>
      </c>
      <c r="C695" s="78">
        <v>2373</v>
      </c>
      <c r="D695" s="27">
        <f t="shared" si="20"/>
        <v>2.1326463818915867E-3</v>
      </c>
      <c r="F695" s="77">
        <v>45672</v>
      </c>
      <c r="G695" s="78">
        <v>23213.200000000001</v>
      </c>
      <c r="H695" s="27">
        <f t="shared" si="21"/>
        <v>1.6029478707545702E-3</v>
      </c>
    </row>
    <row r="696" spans="2:8" x14ac:dyDescent="0.3">
      <c r="B696" s="132">
        <v>45673</v>
      </c>
      <c r="C696" s="78">
        <v>2345</v>
      </c>
      <c r="D696" s="27">
        <f t="shared" si="20"/>
        <v>-1.1799410029498525E-2</v>
      </c>
      <c r="F696" s="77">
        <v>45673</v>
      </c>
      <c r="G696" s="78">
        <v>23311.8</v>
      </c>
      <c r="H696" s="27">
        <f t="shared" si="21"/>
        <v>4.2475832715867931E-3</v>
      </c>
    </row>
    <row r="697" spans="2:8" x14ac:dyDescent="0.3">
      <c r="B697" s="132">
        <v>45674</v>
      </c>
      <c r="C697" s="78">
        <v>2354</v>
      </c>
      <c r="D697" s="27">
        <f t="shared" si="20"/>
        <v>3.8379530916844351E-3</v>
      </c>
      <c r="F697" s="77">
        <v>45674</v>
      </c>
      <c r="G697" s="78">
        <v>23203.200000000001</v>
      </c>
      <c r="H697" s="27">
        <f t="shared" si="21"/>
        <v>-4.6585849226571325E-3</v>
      </c>
    </row>
    <row r="698" spans="2:8" x14ac:dyDescent="0.3">
      <c r="B698" s="132">
        <v>45677</v>
      </c>
      <c r="C698" s="78">
        <v>2345.1999999999998</v>
      </c>
      <c r="D698" s="27">
        <f t="shared" si="20"/>
        <v>-3.7383177570094231E-3</v>
      </c>
      <c r="F698" s="77">
        <v>45677</v>
      </c>
      <c r="G698" s="78">
        <v>23344.75</v>
      </c>
      <c r="H698" s="27">
        <f t="shared" si="21"/>
        <v>6.1004516618397148E-3</v>
      </c>
    </row>
    <row r="699" spans="2:8" x14ac:dyDescent="0.3">
      <c r="B699" s="132">
        <v>45678</v>
      </c>
      <c r="C699" s="78">
        <v>2340.5</v>
      </c>
      <c r="D699" s="27">
        <f t="shared" si="20"/>
        <v>-2.0040934675080242E-3</v>
      </c>
      <c r="F699" s="77">
        <v>45678</v>
      </c>
      <c r="G699" s="78">
        <v>23024.65</v>
      </c>
      <c r="H699" s="27">
        <f t="shared" si="21"/>
        <v>-1.3711862410177815E-2</v>
      </c>
    </row>
    <row r="700" spans="2:8" x14ac:dyDescent="0.3">
      <c r="B700" s="132">
        <v>45679</v>
      </c>
      <c r="C700" s="78">
        <v>2342.9499999999998</v>
      </c>
      <c r="D700" s="27">
        <f t="shared" si="20"/>
        <v>1.0467848750266261E-3</v>
      </c>
      <c r="F700" s="77">
        <v>45679</v>
      </c>
      <c r="G700" s="78">
        <v>23155.35</v>
      </c>
      <c r="H700" s="27">
        <f t="shared" si="21"/>
        <v>5.6765249417470879E-3</v>
      </c>
    </row>
    <row r="701" spans="2:8" x14ac:dyDescent="0.3">
      <c r="B701" s="132">
        <v>45680</v>
      </c>
      <c r="C701" s="78">
        <v>2321.6999999999998</v>
      </c>
      <c r="D701" s="27">
        <f t="shared" si="20"/>
        <v>-9.0697624789261404E-3</v>
      </c>
      <c r="F701" s="77">
        <v>45680</v>
      </c>
      <c r="G701" s="78">
        <v>23205.35</v>
      </c>
      <c r="H701" s="27">
        <f t="shared" si="21"/>
        <v>2.1593281898135853E-3</v>
      </c>
    </row>
    <row r="702" spans="2:8" x14ac:dyDescent="0.3">
      <c r="B702" s="132">
        <v>45681</v>
      </c>
      <c r="C702" s="78">
        <v>2368.1</v>
      </c>
      <c r="D702" s="27">
        <f t="shared" si="20"/>
        <v>1.9985355558427054E-2</v>
      </c>
      <c r="F702" s="77">
        <v>45681</v>
      </c>
      <c r="G702" s="78">
        <v>23092.2</v>
      </c>
      <c r="H702" s="27">
        <f t="shared" si="21"/>
        <v>-4.8760307429104848E-3</v>
      </c>
    </row>
    <row r="703" spans="2:8" x14ac:dyDescent="0.3">
      <c r="B703" s="132">
        <v>45684</v>
      </c>
      <c r="C703" s="78">
        <v>2392.85</v>
      </c>
      <c r="D703" s="27">
        <f t="shared" si="20"/>
        <v>1.0451416747603564E-2</v>
      </c>
      <c r="F703" s="77">
        <v>45684</v>
      </c>
      <c r="G703" s="78">
        <v>22829.15</v>
      </c>
      <c r="H703" s="27">
        <f t="shared" si="21"/>
        <v>-1.1391292297832136E-2</v>
      </c>
    </row>
    <row r="704" spans="2:8" x14ac:dyDescent="0.3">
      <c r="B704" s="132">
        <v>45685</v>
      </c>
      <c r="C704" s="78">
        <v>2388.85</v>
      </c>
      <c r="D704" s="27">
        <f t="shared" si="20"/>
        <v>-1.6716467810351673E-3</v>
      </c>
      <c r="F704" s="77">
        <v>45685</v>
      </c>
      <c r="G704" s="78">
        <v>22957.25</v>
      </c>
      <c r="H704" s="27">
        <f t="shared" si="21"/>
        <v>5.6112470240897508E-3</v>
      </c>
    </row>
    <row r="705" spans="2:8" x14ac:dyDescent="0.3">
      <c r="B705" s="132">
        <v>45686</v>
      </c>
      <c r="C705" s="78">
        <v>2383.9499999999998</v>
      </c>
      <c r="D705" s="27">
        <f t="shared" si="20"/>
        <v>-2.0511961822634703E-3</v>
      </c>
      <c r="F705" s="77">
        <v>45686</v>
      </c>
      <c r="G705" s="78">
        <v>23163.1</v>
      </c>
      <c r="H705" s="27">
        <f t="shared" si="21"/>
        <v>8.9666663036730675E-3</v>
      </c>
    </row>
    <row r="706" spans="2:8" x14ac:dyDescent="0.3">
      <c r="B706" s="132">
        <v>45687</v>
      </c>
      <c r="C706" s="78">
        <v>2408.75</v>
      </c>
      <c r="D706" s="27">
        <f t="shared" si="20"/>
        <v>1.0402902745443563E-2</v>
      </c>
      <c r="F706" s="77">
        <v>45687</v>
      </c>
      <c r="G706" s="78">
        <v>23249.5</v>
      </c>
      <c r="H706" s="27">
        <f t="shared" si="21"/>
        <v>3.7300706727511198E-3</v>
      </c>
    </row>
    <row r="707" spans="2:8" x14ac:dyDescent="0.3">
      <c r="B707" s="132">
        <v>45688</v>
      </c>
      <c r="C707" s="78">
        <v>2468.8000000000002</v>
      </c>
      <c r="D707" s="27">
        <f t="shared" si="20"/>
        <v>2.4929942916450516E-2</v>
      </c>
      <c r="F707" s="77">
        <v>45688</v>
      </c>
      <c r="G707" s="78">
        <v>23508.400000000001</v>
      </c>
      <c r="H707" s="27">
        <f t="shared" si="21"/>
        <v>1.1135723348889286E-2</v>
      </c>
    </row>
    <row r="708" spans="2:8" x14ac:dyDescent="0.3">
      <c r="B708" s="132">
        <v>45689</v>
      </c>
      <c r="C708" s="78">
        <v>2506.0500000000002</v>
      </c>
      <c r="D708" s="27">
        <f t="shared" si="20"/>
        <v>1.5088302009073233E-2</v>
      </c>
      <c r="F708" s="77">
        <v>45689</v>
      </c>
      <c r="G708" s="78">
        <v>23482.15</v>
      </c>
      <c r="H708" s="27">
        <f t="shared" si="21"/>
        <v>-1.1166221435742116E-3</v>
      </c>
    </row>
    <row r="709" spans="2:8" x14ac:dyDescent="0.3">
      <c r="B709" s="132">
        <v>45691</v>
      </c>
      <c r="C709" s="78">
        <v>2441.9499999999998</v>
      </c>
      <c r="D709" s="27">
        <f t="shared" ref="D709:D746" si="22">(C709-C708)/C708</f>
        <v>-2.5578100995590814E-2</v>
      </c>
      <c r="F709" s="77">
        <v>45691</v>
      </c>
      <c r="G709" s="78">
        <v>23361.05</v>
      </c>
      <c r="H709" s="27">
        <f t="shared" ref="H709:H746" si="23">(G709-G708)/G708</f>
        <v>-5.1571086974575228E-3</v>
      </c>
    </row>
    <row r="710" spans="2:8" x14ac:dyDescent="0.3">
      <c r="B710" s="132">
        <v>45692</v>
      </c>
      <c r="C710" s="78">
        <v>2438.0500000000002</v>
      </c>
      <c r="D710" s="27">
        <f t="shared" si="22"/>
        <v>-1.5970842973851375E-3</v>
      </c>
      <c r="F710" s="77">
        <v>45692</v>
      </c>
      <c r="G710" s="78">
        <v>23739.25</v>
      </c>
      <c r="H710" s="27">
        <f t="shared" si="23"/>
        <v>1.6189340804458736E-2</v>
      </c>
    </row>
    <row r="711" spans="2:8" x14ac:dyDescent="0.3">
      <c r="B711" s="132">
        <v>45693</v>
      </c>
      <c r="C711" s="78">
        <v>2391.0500000000002</v>
      </c>
      <c r="D711" s="27">
        <f t="shared" si="22"/>
        <v>-1.927770144172597E-2</v>
      </c>
      <c r="F711" s="77">
        <v>45693</v>
      </c>
      <c r="G711" s="78">
        <v>23696.3</v>
      </c>
      <c r="H711" s="27">
        <f t="shared" si="23"/>
        <v>-1.8092399717767296E-3</v>
      </c>
    </row>
    <row r="712" spans="2:8" x14ac:dyDescent="0.3">
      <c r="B712" s="132">
        <v>45694</v>
      </c>
      <c r="C712" s="78">
        <v>2372.6999999999998</v>
      </c>
      <c r="D712" s="27">
        <f t="shared" si="22"/>
        <v>-7.6744526463270787E-3</v>
      </c>
      <c r="F712" s="77">
        <v>45694</v>
      </c>
      <c r="G712" s="78">
        <v>23603.35</v>
      </c>
      <c r="H712" s="27">
        <f t="shared" si="23"/>
        <v>-3.9225533100104544E-3</v>
      </c>
    </row>
    <row r="713" spans="2:8" x14ac:dyDescent="0.3">
      <c r="B713" s="132">
        <v>45695</v>
      </c>
      <c r="C713" s="78">
        <v>2363.85</v>
      </c>
      <c r="D713" s="27">
        <f t="shared" si="22"/>
        <v>-3.7299279302060563E-3</v>
      </c>
      <c r="F713" s="77">
        <v>45695</v>
      </c>
      <c r="G713" s="78">
        <v>23559.95</v>
      </c>
      <c r="H713" s="27">
        <f t="shared" si="23"/>
        <v>-1.8387220458112013E-3</v>
      </c>
    </row>
    <row r="714" spans="2:8" x14ac:dyDescent="0.3">
      <c r="B714" s="132">
        <v>45698</v>
      </c>
      <c r="C714" s="78">
        <v>2361.4499999999998</v>
      </c>
      <c r="D714" s="27">
        <f t="shared" si="22"/>
        <v>-1.0152928485310368E-3</v>
      </c>
      <c r="F714" s="77">
        <v>45698</v>
      </c>
      <c r="G714" s="78">
        <v>23381.599999999999</v>
      </c>
      <c r="H714" s="27">
        <f t="shared" si="23"/>
        <v>-7.5700500213286602E-3</v>
      </c>
    </row>
    <row r="715" spans="2:8" x14ac:dyDescent="0.3">
      <c r="B715" s="132">
        <v>45699</v>
      </c>
      <c r="C715" s="78">
        <v>2315.25</v>
      </c>
      <c r="D715" s="27">
        <f t="shared" si="22"/>
        <v>-1.9564250778123536E-2</v>
      </c>
      <c r="F715" s="77">
        <v>45699</v>
      </c>
      <c r="G715" s="78">
        <v>23071.8</v>
      </c>
      <c r="H715" s="27">
        <f t="shared" si="23"/>
        <v>-1.3249734834228593E-2</v>
      </c>
    </row>
    <row r="716" spans="2:8" x14ac:dyDescent="0.3">
      <c r="B716" s="132">
        <v>45700</v>
      </c>
      <c r="C716" s="78">
        <v>2332.5</v>
      </c>
      <c r="D716" s="27">
        <f t="shared" si="22"/>
        <v>7.4505992873339809E-3</v>
      </c>
      <c r="F716" s="77">
        <v>45700</v>
      </c>
      <c r="G716" s="78">
        <v>23045.25</v>
      </c>
      <c r="H716" s="27">
        <f t="shared" si="23"/>
        <v>-1.1507554677138009E-3</v>
      </c>
    </row>
    <row r="717" spans="2:8" x14ac:dyDescent="0.3">
      <c r="B717" s="132">
        <v>45701</v>
      </c>
      <c r="C717" s="78">
        <v>2321.5</v>
      </c>
      <c r="D717" s="27">
        <f t="shared" si="22"/>
        <v>-4.715969989281886E-3</v>
      </c>
      <c r="F717" s="77">
        <v>45701</v>
      </c>
      <c r="G717" s="78">
        <v>23031.4</v>
      </c>
      <c r="H717" s="27">
        <f t="shared" si="23"/>
        <v>-6.0099152753814971E-4</v>
      </c>
    </row>
    <row r="718" spans="2:8" x14ac:dyDescent="0.3">
      <c r="B718" s="132">
        <v>45702</v>
      </c>
      <c r="C718" s="78">
        <v>2318.35</v>
      </c>
      <c r="D718" s="27">
        <f t="shared" si="22"/>
        <v>-1.3568813267284476E-3</v>
      </c>
      <c r="F718" s="77">
        <v>45702</v>
      </c>
      <c r="G718" s="78">
        <v>22929.25</v>
      </c>
      <c r="H718" s="27">
        <f t="shared" si="23"/>
        <v>-4.4352492683901734E-3</v>
      </c>
    </row>
    <row r="719" spans="2:8" x14ac:dyDescent="0.3">
      <c r="B719" s="132">
        <v>45705</v>
      </c>
      <c r="C719" s="78">
        <v>2329.4</v>
      </c>
      <c r="D719" s="27">
        <f t="shared" si="22"/>
        <v>4.7663208747601455E-3</v>
      </c>
      <c r="F719" s="77">
        <v>45705</v>
      </c>
      <c r="G719" s="78">
        <v>22959.5</v>
      </c>
      <c r="H719" s="27">
        <f t="shared" si="23"/>
        <v>1.3192755977626831E-3</v>
      </c>
    </row>
    <row r="720" spans="2:8" x14ac:dyDescent="0.3">
      <c r="B720" s="132">
        <v>45706</v>
      </c>
      <c r="C720" s="78">
        <v>2296</v>
      </c>
      <c r="D720" s="27">
        <f t="shared" si="22"/>
        <v>-1.4338456254829608E-2</v>
      </c>
      <c r="F720" s="77">
        <v>45706</v>
      </c>
      <c r="G720" s="78">
        <v>22945.3</v>
      </c>
      <c r="H720" s="27">
        <f t="shared" si="23"/>
        <v>-6.184803676038558E-4</v>
      </c>
    </row>
    <row r="721" spans="2:8" x14ac:dyDescent="0.3">
      <c r="B721" s="132">
        <v>45707</v>
      </c>
      <c r="C721" s="78">
        <v>2250.4</v>
      </c>
      <c r="D721" s="27">
        <f t="shared" si="22"/>
        <v>-1.9860627177700308E-2</v>
      </c>
      <c r="F721" s="77">
        <v>45707</v>
      </c>
      <c r="G721" s="78">
        <v>22932.9</v>
      </c>
      <c r="H721" s="27">
        <f t="shared" si="23"/>
        <v>-5.4041568425768321E-4</v>
      </c>
    </row>
    <row r="722" spans="2:8" x14ac:dyDescent="0.3">
      <c r="B722" s="132">
        <v>45708</v>
      </c>
      <c r="C722" s="78">
        <v>2248.0500000000002</v>
      </c>
      <c r="D722" s="27">
        <f t="shared" si="22"/>
        <v>-1.0442587984357931E-3</v>
      </c>
      <c r="F722" s="77">
        <v>45708</v>
      </c>
      <c r="G722" s="78">
        <v>22913.15</v>
      </c>
      <c r="H722" s="27">
        <f t="shared" si="23"/>
        <v>-8.6120813329321623E-4</v>
      </c>
    </row>
    <row r="723" spans="2:8" x14ac:dyDescent="0.3">
      <c r="B723" s="132">
        <v>45709</v>
      </c>
      <c r="C723" s="78">
        <v>2241.65</v>
      </c>
      <c r="D723" s="27">
        <f t="shared" si="22"/>
        <v>-2.846911767976731E-3</v>
      </c>
      <c r="F723" s="77">
        <v>45709</v>
      </c>
      <c r="G723" s="78">
        <v>22795.9</v>
      </c>
      <c r="H723" s="27">
        <f t="shared" si="23"/>
        <v>-5.1171488861199788E-3</v>
      </c>
    </row>
    <row r="724" spans="2:8" x14ac:dyDescent="0.3">
      <c r="B724" s="132">
        <v>45712</v>
      </c>
      <c r="C724" s="78">
        <v>2241.4499999999998</v>
      </c>
      <c r="D724" s="27">
        <f t="shared" si="22"/>
        <v>-8.9219994200822093E-5</v>
      </c>
      <c r="F724" s="77">
        <v>45712</v>
      </c>
      <c r="G724" s="78">
        <v>22553.35</v>
      </c>
      <c r="H724" s="27">
        <f t="shared" si="23"/>
        <v>-1.0640071240881163E-2</v>
      </c>
    </row>
    <row r="725" spans="2:8" x14ac:dyDescent="0.3">
      <c r="B725" s="132">
        <v>45713</v>
      </c>
      <c r="C725" s="78">
        <v>2259.3000000000002</v>
      </c>
      <c r="D725" s="27">
        <f t="shared" si="22"/>
        <v>7.9635949943118803E-3</v>
      </c>
      <c r="F725" s="77">
        <v>45713</v>
      </c>
      <c r="G725" s="78">
        <v>22547.55</v>
      </c>
      <c r="H725" s="27">
        <f t="shared" si="23"/>
        <v>-2.571680038663557E-4</v>
      </c>
    </row>
    <row r="726" spans="2:8" x14ac:dyDescent="0.3">
      <c r="B726" s="132">
        <v>45715</v>
      </c>
      <c r="C726" s="78">
        <v>2244.9499999999998</v>
      </c>
      <c r="D726" s="27">
        <f t="shared" si="22"/>
        <v>-6.3515248085691863E-3</v>
      </c>
      <c r="F726" s="77">
        <v>45715</v>
      </c>
      <c r="G726" s="78">
        <v>22545.05</v>
      </c>
      <c r="H726" s="27">
        <f t="shared" si="23"/>
        <v>-1.1087679149175853E-4</v>
      </c>
    </row>
    <row r="727" spans="2:8" x14ac:dyDescent="0.3">
      <c r="B727" s="132">
        <v>45716</v>
      </c>
      <c r="C727" s="78">
        <v>2190.25</v>
      </c>
      <c r="D727" s="27">
        <f t="shared" si="22"/>
        <v>-2.4365798792846088E-2</v>
      </c>
      <c r="F727" s="77">
        <v>45716</v>
      </c>
      <c r="G727" s="78">
        <v>22124.7</v>
      </c>
      <c r="H727" s="27">
        <f t="shared" si="23"/>
        <v>-1.8644891007116797E-2</v>
      </c>
    </row>
    <row r="728" spans="2:8" x14ac:dyDescent="0.3">
      <c r="B728" s="132">
        <v>45719</v>
      </c>
      <c r="C728" s="78">
        <v>2176.85</v>
      </c>
      <c r="D728" s="27">
        <f t="shared" si="22"/>
        <v>-6.1180230567287252E-3</v>
      </c>
      <c r="F728" s="77">
        <v>45719</v>
      </c>
      <c r="G728" s="78">
        <v>22119.3</v>
      </c>
      <c r="H728" s="27">
        <f t="shared" si="23"/>
        <v>-2.4407110604896133E-4</v>
      </c>
    </row>
    <row r="729" spans="2:8" x14ac:dyDescent="0.3">
      <c r="B729" s="132">
        <v>45720</v>
      </c>
      <c r="C729" s="78">
        <v>2157.35</v>
      </c>
      <c r="D729" s="27">
        <f t="shared" si="22"/>
        <v>-8.9578978799641686E-3</v>
      </c>
      <c r="F729" s="77">
        <v>45720</v>
      </c>
      <c r="G729" s="78">
        <v>22082.65</v>
      </c>
      <c r="H729" s="27">
        <f t="shared" si="23"/>
        <v>-1.656924043708337E-3</v>
      </c>
    </row>
    <row r="730" spans="2:8" x14ac:dyDescent="0.3">
      <c r="B730" s="132">
        <v>45721</v>
      </c>
      <c r="C730" s="78">
        <v>2170.4499999999998</v>
      </c>
      <c r="D730" s="27">
        <f t="shared" si="22"/>
        <v>6.0722645838644212E-3</v>
      </c>
      <c r="F730" s="77">
        <v>45721</v>
      </c>
      <c r="G730" s="78">
        <v>22337.3</v>
      </c>
      <c r="H730" s="27">
        <f t="shared" si="23"/>
        <v>1.1531677583985519E-2</v>
      </c>
    </row>
    <row r="731" spans="2:8" x14ac:dyDescent="0.3">
      <c r="B731" s="132">
        <v>45722</v>
      </c>
      <c r="C731" s="78">
        <v>2218.9499999999998</v>
      </c>
      <c r="D731" s="27">
        <f t="shared" si="22"/>
        <v>2.2345596535280704E-2</v>
      </c>
      <c r="F731" s="77">
        <v>45722</v>
      </c>
      <c r="G731" s="78">
        <v>22544.7</v>
      </c>
      <c r="H731" s="27">
        <f t="shared" si="23"/>
        <v>9.2849180518684658E-3</v>
      </c>
    </row>
    <row r="732" spans="2:8" x14ac:dyDescent="0.3">
      <c r="B732" s="132">
        <v>45723</v>
      </c>
      <c r="C732" s="78">
        <v>2204.5500000000002</v>
      </c>
      <c r="D732" s="27">
        <f t="shared" si="22"/>
        <v>-6.4895558710199135E-3</v>
      </c>
      <c r="F732" s="77">
        <v>45723</v>
      </c>
      <c r="G732" s="78">
        <v>22552.5</v>
      </c>
      <c r="H732" s="27">
        <f t="shared" si="23"/>
        <v>3.4597932108208459E-4</v>
      </c>
    </row>
    <row r="733" spans="2:8" x14ac:dyDescent="0.3">
      <c r="B733" s="132">
        <v>45726</v>
      </c>
      <c r="C733" s="78">
        <v>2247.75</v>
      </c>
      <c r="D733" s="27">
        <f t="shared" si="22"/>
        <v>1.9595835884874381E-2</v>
      </c>
      <c r="F733" s="77">
        <v>45726</v>
      </c>
      <c r="G733" s="78">
        <v>22460.3</v>
      </c>
      <c r="H733" s="27">
        <f t="shared" si="23"/>
        <v>-4.0882385544840144E-3</v>
      </c>
    </row>
    <row r="734" spans="2:8" x14ac:dyDescent="0.3">
      <c r="B734" s="132">
        <v>45727</v>
      </c>
      <c r="C734" s="78">
        <v>2216.9499999999998</v>
      </c>
      <c r="D734" s="27">
        <f t="shared" si="22"/>
        <v>-1.370259148036934E-2</v>
      </c>
      <c r="F734" s="77">
        <v>45727</v>
      </c>
      <c r="G734" s="78">
        <v>22497.9</v>
      </c>
      <c r="H734" s="27">
        <f t="shared" si="23"/>
        <v>1.6740649056335927E-3</v>
      </c>
    </row>
    <row r="735" spans="2:8" x14ac:dyDescent="0.3">
      <c r="B735" s="132">
        <v>45728</v>
      </c>
      <c r="C735" s="78">
        <v>2192.9</v>
      </c>
      <c r="D735" s="27">
        <f t="shared" si="22"/>
        <v>-1.0848237443334189E-2</v>
      </c>
      <c r="F735" s="77">
        <v>45728</v>
      </c>
      <c r="G735" s="78">
        <v>22470.5</v>
      </c>
      <c r="H735" s="27">
        <f t="shared" si="23"/>
        <v>-1.2178914476462894E-3</v>
      </c>
    </row>
    <row r="736" spans="2:8" x14ac:dyDescent="0.3">
      <c r="B736" s="132">
        <v>45729</v>
      </c>
      <c r="C736" s="78">
        <v>2174.8000000000002</v>
      </c>
      <c r="D736" s="27">
        <f t="shared" si="22"/>
        <v>-8.2539103470290059E-3</v>
      </c>
      <c r="F736" s="77">
        <v>45729</v>
      </c>
      <c r="G736" s="78">
        <v>22397.200000000001</v>
      </c>
      <c r="H736" s="27">
        <f t="shared" si="23"/>
        <v>-3.262054693932012E-3</v>
      </c>
    </row>
    <row r="737" spans="2:8" x14ac:dyDescent="0.3">
      <c r="B737" s="132">
        <v>45733</v>
      </c>
      <c r="C737" s="78">
        <v>2171.25</v>
      </c>
      <c r="D737" s="27">
        <f t="shared" si="22"/>
        <v>-1.6323340077249318E-3</v>
      </c>
      <c r="F737" s="77">
        <v>45733</v>
      </c>
      <c r="G737" s="78">
        <v>22508.75</v>
      </c>
      <c r="H737" s="27">
        <f t="shared" si="23"/>
        <v>4.9805332809458001E-3</v>
      </c>
    </row>
    <row r="738" spans="2:8" x14ac:dyDescent="0.3">
      <c r="B738" s="132">
        <v>45734</v>
      </c>
      <c r="C738" s="78">
        <v>2201.4</v>
      </c>
      <c r="D738" s="27">
        <f t="shared" si="22"/>
        <v>1.3886010362694342E-2</v>
      </c>
      <c r="F738" s="77">
        <v>45734</v>
      </c>
      <c r="G738" s="78">
        <v>22834.3</v>
      </c>
      <c r="H738" s="27">
        <f t="shared" si="23"/>
        <v>1.4463264286110925E-2</v>
      </c>
    </row>
    <row r="739" spans="2:8" x14ac:dyDescent="0.3">
      <c r="B739" s="132">
        <v>45735</v>
      </c>
      <c r="C739" s="78">
        <v>2200.0500000000002</v>
      </c>
      <c r="D739" s="27">
        <f t="shared" si="22"/>
        <v>-6.1324611610789003E-4</v>
      </c>
      <c r="F739" s="77">
        <v>45735</v>
      </c>
      <c r="G739" s="78">
        <v>22907.599999999999</v>
      </c>
      <c r="H739" s="27">
        <f t="shared" si="23"/>
        <v>3.2100830767748203E-3</v>
      </c>
    </row>
    <row r="740" spans="2:8" x14ac:dyDescent="0.3">
      <c r="B740" s="132">
        <v>45736</v>
      </c>
      <c r="C740" s="78">
        <v>2242.4</v>
      </c>
      <c r="D740" s="27">
        <f t="shared" si="22"/>
        <v>1.9249562509942912E-2</v>
      </c>
      <c r="F740" s="77">
        <v>45736</v>
      </c>
      <c r="G740" s="78">
        <v>23190.65</v>
      </c>
      <c r="H740" s="27">
        <f t="shared" si="23"/>
        <v>1.23561612739878E-2</v>
      </c>
    </row>
    <row r="741" spans="2:8" x14ac:dyDescent="0.3">
      <c r="B741" s="132">
        <v>45737</v>
      </c>
      <c r="C741" s="78">
        <v>2246.1999999999998</v>
      </c>
      <c r="D741" s="27">
        <f t="shared" si="22"/>
        <v>1.6946129147340915E-3</v>
      </c>
      <c r="F741" s="77">
        <v>45737</v>
      </c>
      <c r="G741" s="78">
        <v>23350.400000000001</v>
      </c>
      <c r="H741" s="27">
        <f t="shared" si="23"/>
        <v>6.8885520673202345E-3</v>
      </c>
    </row>
    <row r="742" spans="2:8" x14ac:dyDescent="0.3">
      <c r="B742" s="132">
        <v>45740</v>
      </c>
      <c r="C742" s="78">
        <v>2256.1999999999998</v>
      </c>
      <c r="D742" s="27">
        <f t="shared" si="22"/>
        <v>4.4519633158222778E-3</v>
      </c>
      <c r="F742" s="77">
        <v>45740</v>
      </c>
      <c r="G742" s="78">
        <v>23658.35</v>
      </c>
      <c r="H742" s="27">
        <f t="shared" si="23"/>
        <v>1.3188210908592447E-2</v>
      </c>
    </row>
    <row r="743" spans="2:8" x14ac:dyDescent="0.3">
      <c r="B743" s="132">
        <v>45741</v>
      </c>
      <c r="C743" s="78">
        <v>2271.3000000000002</v>
      </c>
      <c r="D743" s="27">
        <f t="shared" si="22"/>
        <v>6.6926690896198767E-3</v>
      </c>
      <c r="F743" s="77">
        <v>45741</v>
      </c>
      <c r="G743" s="78">
        <v>23668.65</v>
      </c>
      <c r="H743" s="27">
        <f t="shared" si="23"/>
        <v>4.3536425828525282E-4</v>
      </c>
    </row>
    <row r="744" spans="2:8" x14ac:dyDescent="0.3">
      <c r="B744" s="132">
        <v>45742</v>
      </c>
      <c r="C744" s="78">
        <v>2245.9499999999998</v>
      </c>
      <c r="D744" s="27">
        <f t="shared" si="22"/>
        <v>-1.1161009113723577E-2</v>
      </c>
      <c r="F744" s="77">
        <v>45742</v>
      </c>
      <c r="G744" s="78">
        <v>23486.85</v>
      </c>
      <c r="H744" s="27">
        <f t="shared" si="23"/>
        <v>-7.6810464475161409E-3</v>
      </c>
    </row>
    <row r="745" spans="2:8" x14ac:dyDescent="0.3">
      <c r="B745" s="132">
        <v>45743</v>
      </c>
      <c r="C745" s="78">
        <v>2244.65</v>
      </c>
      <c r="D745" s="27">
        <f t="shared" si="22"/>
        <v>-5.7881965315333258E-4</v>
      </c>
      <c r="F745" s="77">
        <v>45743</v>
      </c>
      <c r="G745" s="78">
        <v>23591.95</v>
      </c>
      <c r="H745" s="27">
        <f t="shared" si="23"/>
        <v>4.4748444342260539E-3</v>
      </c>
    </row>
    <row r="746" spans="2:8" x14ac:dyDescent="0.3">
      <c r="B746" s="132">
        <v>45744</v>
      </c>
      <c r="C746" s="78">
        <v>2258.85</v>
      </c>
      <c r="D746" s="27">
        <f t="shared" si="22"/>
        <v>6.326153297841453E-3</v>
      </c>
      <c r="F746" s="77">
        <v>45744</v>
      </c>
      <c r="G746" s="78">
        <v>23519.35</v>
      </c>
      <c r="H746" s="27">
        <f t="shared" si="23"/>
        <v>-3.077320865803894E-3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80"/>
  <sheetViews>
    <sheetView topLeftCell="A8" workbookViewId="0">
      <selection activeCell="C77" sqref="C77:J77"/>
    </sheetView>
  </sheetViews>
  <sheetFormatPr defaultRowHeight="14.4" x14ac:dyDescent="0.3"/>
  <cols>
    <col min="2" max="2" width="34.5546875" bestFit="1" customWidth="1"/>
    <col min="3" max="6" width="12" bestFit="1" customWidth="1"/>
    <col min="7" max="8" width="12.6640625" bestFit="1" customWidth="1"/>
    <col min="9" max="10" width="12" bestFit="1" customWidth="1"/>
    <col min="11" max="12" width="13.109375" bestFit="1" customWidth="1"/>
    <col min="14" max="15" width="12" bestFit="1" customWidth="1"/>
  </cols>
  <sheetData>
    <row r="3" spans="2:15" x14ac:dyDescent="0.3">
      <c r="B3" s="20" t="s">
        <v>170</v>
      </c>
    </row>
    <row r="5" spans="2:15" x14ac:dyDescent="0.3">
      <c r="B5" s="24" t="s">
        <v>171</v>
      </c>
      <c r="C5" s="33">
        <f>'Raw Data'!C4</f>
        <v>42430</v>
      </c>
      <c r="D5" s="33">
        <f>'Raw Data'!D4</f>
        <v>42795</v>
      </c>
      <c r="E5" s="33">
        <f>'Raw Data'!E4</f>
        <v>43160</v>
      </c>
      <c r="F5" s="33">
        <f>'Raw Data'!F4</f>
        <v>43525</v>
      </c>
      <c r="G5" s="33">
        <f>'Raw Data'!G4</f>
        <v>43891</v>
      </c>
      <c r="H5" s="33">
        <f>'Raw Data'!H4</f>
        <v>44256</v>
      </c>
      <c r="I5" s="33">
        <f>'Raw Data'!I4</f>
        <v>44621</v>
      </c>
      <c r="J5" s="33">
        <f>'Raw Data'!J4</f>
        <v>44986</v>
      </c>
      <c r="K5" s="33">
        <f>'Raw Data'!K4</f>
        <v>45352</v>
      </c>
      <c r="L5" s="33">
        <f>'Raw Data'!L4</f>
        <v>45717</v>
      </c>
      <c r="M5" s="34"/>
      <c r="N5" s="24" t="s">
        <v>172</v>
      </c>
      <c r="O5" s="24" t="s">
        <v>173</v>
      </c>
    </row>
    <row r="6" spans="2:15" x14ac:dyDescent="0.3">
      <c r="B6" t="s">
        <v>146</v>
      </c>
      <c r="C6" s="14">
        <f>'Raw Data'!C5</f>
        <v>32186</v>
      </c>
      <c r="D6" s="14">
        <f>'Raw Data'!D5</f>
        <v>33162</v>
      </c>
      <c r="E6" s="14">
        <f>'Raw Data'!E5</f>
        <v>35545</v>
      </c>
      <c r="F6" s="14">
        <f>'Raw Data'!F5</f>
        <v>39310</v>
      </c>
      <c r="G6" s="14">
        <f>'Raw Data'!G5</f>
        <v>39783</v>
      </c>
      <c r="H6" s="14">
        <f>'Raw Data'!H5</f>
        <v>47028</v>
      </c>
      <c r="I6" s="14">
        <f>'Raw Data'!I5</f>
        <v>52446</v>
      </c>
      <c r="J6" s="14">
        <f>'Raw Data'!J5</f>
        <v>60580</v>
      </c>
      <c r="K6" s="14">
        <f>'Raw Data'!K5</f>
        <v>61896</v>
      </c>
      <c r="L6" s="14">
        <f>'Raw Data'!L5</f>
        <v>63121</v>
      </c>
    </row>
    <row r="7" spans="2:15" x14ac:dyDescent="0.3">
      <c r="B7" t="s">
        <v>174</v>
      </c>
      <c r="C7" s="14">
        <f>'Raw Data'!C14</f>
        <v>5557</v>
      </c>
      <c r="D7" s="14">
        <f>'Raw Data'!D14</f>
        <v>5896</v>
      </c>
      <c r="E7" s="14">
        <f>'Raw Data'!E14</f>
        <v>6979</v>
      </c>
      <c r="F7" s="14">
        <f>'Raw Data'!F14</f>
        <v>8315</v>
      </c>
      <c r="G7" s="14">
        <f>'Raw Data'!G14</f>
        <v>8859</v>
      </c>
      <c r="H7" s="14">
        <f>'Raw Data'!H14</f>
        <v>10552</v>
      </c>
      <c r="I7" s="14">
        <f>'Raw Data'!I14</f>
        <v>11766</v>
      </c>
      <c r="J7" s="14">
        <f>'Raw Data'!J14</f>
        <v>13010</v>
      </c>
      <c r="K7" s="14">
        <f>'Raw Data'!K14</f>
        <v>13443</v>
      </c>
      <c r="L7" s="14">
        <f>'Raw Data'!L14</f>
        <v>13488</v>
      </c>
    </row>
    <row r="8" spans="2:15" ht="15" thickBot="1" x14ac:dyDescent="0.35">
      <c r="B8" s="28" t="s">
        <v>175</v>
      </c>
      <c r="C8" s="35">
        <f>'Raw Data'!C23</f>
        <v>1875</v>
      </c>
      <c r="D8" s="35">
        <f>'Raw Data'!D23</f>
        <v>1977</v>
      </c>
      <c r="E8" s="35">
        <f>'Raw Data'!E23</f>
        <v>2079</v>
      </c>
      <c r="F8" s="35">
        <f>'Raw Data'!F23</f>
        <v>2544</v>
      </c>
      <c r="G8" s="35">
        <f>'Raw Data'!G23</f>
        <v>2409</v>
      </c>
      <c r="H8" s="35">
        <f>'Raw Data'!H23</f>
        <v>2606</v>
      </c>
      <c r="I8" s="35">
        <f>'Raw Data'!I23</f>
        <v>2987</v>
      </c>
      <c r="J8" s="35">
        <f>'Raw Data'!J23</f>
        <v>3201</v>
      </c>
      <c r="K8" s="35">
        <f>'Raw Data'!K23</f>
        <v>3644</v>
      </c>
      <c r="L8" s="35">
        <f>'Raw Data'!L23</f>
        <v>3744</v>
      </c>
    </row>
    <row r="10" spans="2:15" x14ac:dyDescent="0.3">
      <c r="B10" t="s">
        <v>176</v>
      </c>
      <c r="C10" s="27">
        <f>C8/C6</f>
        <v>5.8255141987199402E-2</v>
      </c>
      <c r="D10" s="27">
        <f t="shared" ref="D10:L10" si="0">D8/D6</f>
        <v>5.9616428442192872E-2</v>
      </c>
      <c r="E10" s="27">
        <f t="shared" si="0"/>
        <v>5.8489238992825994E-2</v>
      </c>
      <c r="F10" s="27">
        <f t="shared" si="0"/>
        <v>6.4716357161027735E-2</v>
      </c>
      <c r="G10" s="27">
        <f t="shared" si="0"/>
        <v>6.0553502752431945E-2</v>
      </c>
      <c r="H10" s="27">
        <f t="shared" si="0"/>
        <v>5.5413796036403846E-2</v>
      </c>
      <c r="I10" s="27">
        <f t="shared" si="0"/>
        <v>5.6953819166380655E-2</v>
      </c>
      <c r="J10" s="27">
        <f t="shared" si="0"/>
        <v>5.2839220864971941E-2</v>
      </c>
      <c r="K10" s="27">
        <f t="shared" si="0"/>
        <v>5.8872948171125761E-2</v>
      </c>
      <c r="L10" s="27">
        <f t="shared" si="0"/>
        <v>5.9314649641165382E-2</v>
      </c>
      <c r="N10" s="15">
        <f>MEDIAN(C10:L10)</f>
        <v>5.8681093581975874E-2</v>
      </c>
      <c r="O10" s="15">
        <f>AVERAGE(C10:L10)</f>
        <v>5.8502510321572554E-2</v>
      </c>
    </row>
    <row r="11" spans="2:15" x14ac:dyDescent="0.3">
      <c r="B11" t="s">
        <v>177</v>
      </c>
      <c r="C11" s="27">
        <f>C8/C7</f>
        <v>0.33741227280906966</v>
      </c>
      <c r="D11" s="27">
        <f t="shared" ref="D11:L11" si="1">D8/D7</f>
        <v>0.33531207598371776</v>
      </c>
      <c r="E11" s="27">
        <f t="shared" si="1"/>
        <v>0.29789368104312941</v>
      </c>
      <c r="F11" s="27">
        <f t="shared" si="1"/>
        <v>0.3059530968129886</v>
      </c>
      <c r="G11" s="27">
        <f t="shared" si="1"/>
        <v>0.27192685404673211</v>
      </c>
      <c r="H11" s="27">
        <f t="shared" si="1"/>
        <v>0.24696739954510993</v>
      </c>
      <c r="I11" s="27">
        <f t="shared" si="1"/>
        <v>0.25386707462179159</v>
      </c>
      <c r="J11" s="27">
        <f t="shared" si="1"/>
        <v>0.24604150653343582</v>
      </c>
      <c r="K11" s="27">
        <f t="shared" si="1"/>
        <v>0.27107044558506288</v>
      </c>
      <c r="L11" s="27">
        <f t="shared" si="1"/>
        <v>0.27758007117437722</v>
      </c>
      <c r="N11" s="15">
        <f>MEDIAN(C11:L11)</f>
        <v>0.27475346261055467</v>
      </c>
      <c r="O11" s="15">
        <f>AVERAGE(C11:L11)</f>
        <v>0.28440244781554147</v>
      </c>
    </row>
    <row r="13" spans="2:15" x14ac:dyDescent="0.3">
      <c r="B13" s="20" t="s">
        <v>178</v>
      </c>
      <c r="C13" s="36">
        <f>26%*(1+4%)</f>
        <v>0.27040000000000003</v>
      </c>
    </row>
    <row r="16" spans="2:15" x14ac:dyDescent="0.3">
      <c r="B16" s="24" t="s">
        <v>179</v>
      </c>
    </row>
    <row r="18" spans="2:15" x14ac:dyDescent="0.3">
      <c r="B18" s="24" t="s">
        <v>171</v>
      </c>
      <c r="C18" s="33">
        <f>C5</f>
        <v>42430</v>
      </c>
      <c r="D18" s="33">
        <f t="shared" ref="D18:L18" si="2">D5</f>
        <v>42795</v>
      </c>
      <c r="E18" s="33">
        <f t="shared" si="2"/>
        <v>43160</v>
      </c>
      <c r="F18" s="33">
        <f t="shared" si="2"/>
        <v>43525</v>
      </c>
      <c r="G18" s="33">
        <f t="shared" si="2"/>
        <v>43891</v>
      </c>
      <c r="H18" s="33">
        <f t="shared" si="2"/>
        <v>44256</v>
      </c>
      <c r="I18" s="33">
        <f t="shared" si="2"/>
        <v>44621</v>
      </c>
      <c r="J18" s="33">
        <f t="shared" si="2"/>
        <v>44986</v>
      </c>
      <c r="K18" s="33">
        <f t="shared" si="2"/>
        <v>45352</v>
      </c>
      <c r="L18" s="33">
        <f t="shared" si="2"/>
        <v>45717</v>
      </c>
    </row>
    <row r="19" spans="2:15" x14ac:dyDescent="0.3">
      <c r="B19" t="s">
        <v>136</v>
      </c>
      <c r="C19" s="37">
        <f>'Raw Data'!C106</f>
        <v>14</v>
      </c>
      <c r="D19" s="37">
        <f>'Raw Data'!D106</f>
        <v>12</v>
      </c>
      <c r="E19" s="37">
        <f>'Raw Data'!E106</f>
        <v>13</v>
      </c>
      <c r="F19" s="37">
        <f>'Raw Data'!F106</f>
        <v>17</v>
      </c>
      <c r="G19" s="37">
        <f>'Raw Data'!G106</f>
        <v>11</v>
      </c>
      <c r="H19" s="37">
        <f>'Raw Data'!H106</f>
        <v>14</v>
      </c>
      <c r="I19" s="37">
        <f>'Raw Data'!I106</f>
        <v>16</v>
      </c>
      <c r="J19" s="37">
        <f>'Raw Data'!J106</f>
        <v>19</v>
      </c>
      <c r="K19" s="37">
        <f>'Raw Data'!K106</f>
        <v>18</v>
      </c>
      <c r="L19" s="37">
        <f>'Raw Data'!L106</f>
        <v>22</v>
      </c>
      <c r="N19" s="38">
        <f>MEDIAN(C19:L19)</f>
        <v>15</v>
      </c>
      <c r="O19" s="38">
        <f>AVERAGE(C19:L19)</f>
        <v>15.6</v>
      </c>
    </row>
    <row r="20" spans="2:15" x14ac:dyDescent="0.3">
      <c r="B20" s="39" t="s">
        <v>137</v>
      </c>
      <c r="C20" s="37">
        <f>'Raw Data'!C107</f>
        <v>75</v>
      </c>
      <c r="D20" s="37">
        <f>'Raw Data'!D107</f>
        <v>67</v>
      </c>
      <c r="E20" s="37">
        <f>'Raw Data'!E107</f>
        <v>65</v>
      </c>
      <c r="F20" s="37">
        <f>'Raw Data'!F107</f>
        <v>59</v>
      </c>
      <c r="G20" s="37">
        <f>'Raw Data'!G107</f>
        <v>65</v>
      </c>
      <c r="H20" s="37">
        <f>'Raw Data'!H107</f>
        <v>66</v>
      </c>
      <c r="I20" s="37">
        <f>'Raw Data'!I107</f>
        <v>65</v>
      </c>
      <c r="J20" s="37">
        <f>'Raw Data'!J107</f>
        <v>55</v>
      </c>
      <c r="K20" s="37">
        <f>'Raw Data'!K107</f>
        <v>55</v>
      </c>
      <c r="L20" s="37">
        <f>'Raw Data'!L107</f>
        <v>59</v>
      </c>
      <c r="N20" s="38">
        <f t="shared" ref="N20:N21" si="3">MEDIAN(C20:L20)</f>
        <v>65</v>
      </c>
      <c r="O20" s="38">
        <f t="shared" ref="O20:O21" si="4">AVERAGE(C20:L20)</f>
        <v>63.1</v>
      </c>
    </row>
    <row r="21" spans="2:15" x14ac:dyDescent="0.3">
      <c r="B21" t="s">
        <v>180</v>
      </c>
      <c r="C21" s="37">
        <f>'Raw Data'!C108</f>
        <v>156</v>
      </c>
      <c r="D21" s="37">
        <f>'Raw Data'!D108</f>
        <v>164</v>
      </c>
      <c r="E21" s="37">
        <f>'Raw Data'!E108</f>
        <v>185</v>
      </c>
      <c r="F21" s="37">
        <f>'Raw Data'!F108</f>
        <v>166</v>
      </c>
      <c r="G21" s="37">
        <f>'Raw Data'!G108</f>
        <v>176</v>
      </c>
      <c r="H21" s="37">
        <f>'Raw Data'!H108</f>
        <v>163</v>
      </c>
      <c r="I21" s="37">
        <f>'Raw Data'!I108</f>
        <v>145</v>
      </c>
      <c r="J21" s="37">
        <f>'Raw Data'!J108</f>
        <v>123</v>
      </c>
      <c r="K21" s="37">
        <f>'Raw Data'!K108</f>
        <v>143</v>
      </c>
      <c r="L21" s="37">
        <f>'Raw Data'!L108</f>
        <v>152</v>
      </c>
      <c r="N21" s="38">
        <f t="shared" si="3"/>
        <v>159.5</v>
      </c>
      <c r="O21" s="38">
        <f t="shared" si="4"/>
        <v>157.30000000000001</v>
      </c>
    </row>
    <row r="23" spans="2:15" x14ac:dyDescent="0.3">
      <c r="B23" s="24" t="s">
        <v>181</v>
      </c>
      <c r="C23" s="25">
        <v>2023</v>
      </c>
      <c r="D23" s="25">
        <f>C23+1</f>
        <v>2024</v>
      </c>
      <c r="E23" s="25">
        <f>D23+1</f>
        <v>2025</v>
      </c>
      <c r="F23" s="26">
        <v>2026</v>
      </c>
      <c r="G23" s="26">
        <v>2027</v>
      </c>
      <c r="H23" s="26">
        <v>2028</v>
      </c>
      <c r="I23" s="26">
        <v>2029</v>
      </c>
      <c r="J23" s="26">
        <v>2030</v>
      </c>
    </row>
    <row r="24" spans="2:15" x14ac:dyDescent="0.3">
      <c r="B24" t="s">
        <v>182</v>
      </c>
      <c r="C24" s="37">
        <f>J19</f>
        <v>19</v>
      </c>
      <c r="D24" s="37">
        <f t="shared" ref="D24:E24" si="5">K19</f>
        <v>18</v>
      </c>
      <c r="E24" s="37">
        <f t="shared" si="5"/>
        <v>22</v>
      </c>
      <c r="F24" s="40">
        <f>15</f>
        <v>15</v>
      </c>
      <c r="G24" s="40">
        <f>15</f>
        <v>15</v>
      </c>
      <c r="H24" s="40">
        <f>15</f>
        <v>15</v>
      </c>
      <c r="I24" s="40">
        <f>15</f>
        <v>15</v>
      </c>
      <c r="J24" s="40">
        <f>15</f>
        <v>15</v>
      </c>
      <c r="K24" s="37"/>
      <c r="L24" s="37"/>
    </row>
    <row r="25" spans="2:15" x14ac:dyDescent="0.3">
      <c r="B25" t="s">
        <v>146</v>
      </c>
      <c r="C25" s="14">
        <f>'DCF Valuation'!C6</f>
        <v>60580</v>
      </c>
      <c r="D25" s="14">
        <f>'DCF Valuation'!D6</f>
        <v>61896</v>
      </c>
      <c r="E25" s="14">
        <f>'DCF Valuation'!E6</f>
        <v>63121</v>
      </c>
      <c r="F25" s="14">
        <f>'DCF Valuation'!F6</f>
        <v>66277.05</v>
      </c>
      <c r="G25" s="14">
        <f>'DCF Valuation'!G6</f>
        <v>69590.902500000011</v>
      </c>
      <c r="H25" s="14">
        <f>'DCF Valuation'!H6</f>
        <v>73070.447625000015</v>
      </c>
      <c r="I25" s="14">
        <f>'DCF Valuation'!I6</f>
        <v>76723.97000625002</v>
      </c>
      <c r="J25" s="14">
        <f>'DCF Valuation'!J6</f>
        <v>80560.168506562521</v>
      </c>
      <c r="K25" s="14"/>
      <c r="L25" s="14"/>
    </row>
    <row r="26" spans="2:15" x14ac:dyDescent="0.3">
      <c r="B26" t="s">
        <v>183</v>
      </c>
      <c r="C26">
        <v>365</v>
      </c>
      <c r="D26">
        <v>365</v>
      </c>
      <c r="E26">
        <v>365</v>
      </c>
      <c r="F26">
        <v>365</v>
      </c>
      <c r="G26">
        <v>365</v>
      </c>
      <c r="H26">
        <v>365</v>
      </c>
      <c r="I26">
        <v>365</v>
      </c>
      <c r="J26">
        <v>365</v>
      </c>
    </row>
    <row r="28" spans="2:15" x14ac:dyDescent="0.3">
      <c r="B28" s="20" t="s">
        <v>184</v>
      </c>
      <c r="C28" s="47">
        <f t="shared" ref="C28:J28" si="6">(C25/C26)*C24</f>
        <v>3153.4794520547944</v>
      </c>
      <c r="D28" s="47">
        <f t="shared" si="6"/>
        <v>3052.4054794520548</v>
      </c>
      <c r="E28" s="47">
        <f t="shared" si="6"/>
        <v>3804.5534246575339</v>
      </c>
      <c r="F28" s="47">
        <f t="shared" si="6"/>
        <v>2723.7143835616439</v>
      </c>
      <c r="G28" s="47">
        <f t="shared" si="6"/>
        <v>2859.9001027397262</v>
      </c>
      <c r="H28" s="47">
        <f t="shared" si="6"/>
        <v>3002.8951078767127</v>
      </c>
      <c r="I28" s="47">
        <f t="shared" si="6"/>
        <v>3153.0398632705487</v>
      </c>
      <c r="J28" s="47">
        <f t="shared" si="6"/>
        <v>3310.6918564340763</v>
      </c>
      <c r="K28" s="20"/>
      <c r="L28" s="20"/>
    </row>
    <row r="29" spans="2:15" x14ac:dyDescent="0.3">
      <c r="B29" t="s">
        <v>185</v>
      </c>
      <c r="C29" s="27">
        <f>C28/C25</f>
        <v>5.205479452054794E-2</v>
      </c>
      <c r="D29" s="27">
        <f t="shared" ref="D29:J29" si="7">D28/D25</f>
        <v>4.9315068493150684E-2</v>
      </c>
      <c r="E29" s="27">
        <f t="shared" si="7"/>
        <v>6.0273972602739721E-2</v>
      </c>
      <c r="F29" s="27">
        <f t="shared" si="7"/>
        <v>4.1095890410958902E-2</v>
      </c>
      <c r="G29" s="27">
        <f t="shared" si="7"/>
        <v>4.1095890410958902E-2</v>
      </c>
      <c r="H29" s="27">
        <f t="shared" si="7"/>
        <v>4.1095890410958902E-2</v>
      </c>
      <c r="I29" s="27">
        <f t="shared" si="7"/>
        <v>4.1095890410958902E-2</v>
      </c>
      <c r="J29" s="27">
        <f t="shared" si="7"/>
        <v>4.1095890410958902E-2</v>
      </c>
    </row>
    <row r="31" spans="2:15" x14ac:dyDescent="0.3">
      <c r="B31" s="24" t="s">
        <v>186</v>
      </c>
    </row>
    <row r="32" spans="2:15" x14ac:dyDescent="0.3">
      <c r="B32" t="s">
        <v>137</v>
      </c>
      <c r="C32" s="37">
        <f>J20</f>
        <v>55</v>
      </c>
      <c r="D32" s="37">
        <f t="shared" ref="D32:E32" si="8">K20</f>
        <v>55</v>
      </c>
      <c r="E32" s="37">
        <f t="shared" si="8"/>
        <v>59</v>
      </c>
      <c r="F32" s="40">
        <v>64</v>
      </c>
      <c r="G32" s="40">
        <v>64</v>
      </c>
      <c r="H32" s="40">
        <v>64</v>
      </c>
      <c r="I32" s="40">
        <v>64</v>
      </c>
      <c r="J32" s="40">
        <v>64</v>
      </c>
    </row>
    <row r="33" spans="2:15" x14ac:dyDescent="0.3">
      <c r="B33" t="s">
        <v>146</v>
      </c>
      <c r="C33" s="14">
        <f>'DCF Valuation'!C6</f>
        <v>60580</v>
      </c>
      <c r="D33" s="14">
        <f>'DCF Valuation'!D6</f>
        <v>61896</v>
      </c>
      <c r="E33" s="14">
        <f>'DCF Valuation'!E6</f>
        <v>63121</v>
      </c>
      <c r="F33" s="14">
        <f>'DCF Valuation'!F6</f>
        <v>66277.05</v>
      </c>
      <c r="G33" s="14">
        <f>'DCF Valuation'!G6</f>
        <v>69590.902500000011</v>
      </c>
      <c r="H33" s="14">
        <f>'DCF Valuation'!H6</f>
        <v>73070.447625000015</v>
      </c>
      <c r="I33" s="14">
        <f>'DCF Valuation'!I6</f>
        <v>76723.97000625002</v>
      </c>
      <c r="J33" s="14">
        <f>'DCF Valuation'!J6</f>
        <v>80560.168506562521</v>
      </c>
    </row>
    <row r="34" spans="2:15" ht="15" thickBot="1" x14ac:dyDescent="0.35">
      <c r="B34" s="41" t="s">
        <v>187</v>
      </c>
      <c r="C34" s="41">
        <v>365</v>
      </c>
      <c r="D34" s="41">
        <v>365</v>
      </c>
      <c r="E34" s="41">
        <v>365</v>
      </c>
      <c r="F34" s="41">
        <v>365</v>
      </c>
      <c r="G34" s="41">
        <v>365</v>
      </c>
      <c r="H34" s="41">
        <v>365</v>
      </c>
      <c r="I34" s="41">
        <v>365</v>
      </c>
      <c r="J34" s="41">
        <v>365</v>
      </c>
      <c r="K34" s="41"/>
      <c r="L34" s="41"/>
      <c r="M34" s="41"/>
      <c r="N34" s="41"/>
      <c r="O34" s="41"/>
    </row>
    <row r="35" spans="2:15" x14ac:dyDescent="0.3">
      <c r="B35" s="42" t="s">
        <v>184</v>
      </c>
      <c r="C35" s="47">
        <f>(C33/C34)*C32</f>
        <v>9128.4931506849316</v>
      </c>
      <c r="D35" s="47">
        <f t="shared" ref="D35:J35" si="9">(D33/D34)*D32</f>
        <v>9326.7945205479446</v>
      </c>
      <c r="E35" s="47">
        <f t="shared" si="9"/>
        <v>10203.120547945206</v>
      </c>
      <c r="F35" s="47">
        <f t="shared" si="9"/>
        <v>11621.181369863014</v>
      </c>
      <c r="G35" s="47">
        <f t="shared" si="9"/>
        <v>12202.240438356166</v>
      </c>
      <c r="H35" s="47">
        <f t="shared" si="9"/>
        <v>12812.352460273974</v>
      </c>
      <c r="I35" s="47">
        <f t="shared" si="9"/>
        <v>13452.970083287675</v>
      </c>
      <c r="J35" s="47">
        <f t="shared" si="9"/>
        <v>14125.618587452058</v>
      </c>
      <c r="K35" s="41"/>
      <c r="L35" s="41"/>
      <c r="M35" s="41"/>
      <c r="N35" s="41"/>
      <c r="O35" s="41"/>
    </row>
    <row r="36" spans="2:15" x14ac:dyDescent="0.3">
      <c r="B36" s="43" t="s">
        <v>188</v>
      </c>
      <c r="C36" s="44">
        <f>C35/C33</f>
        <v>0.15068493150684931</v>
      </c>
      <c r="D36" s="44">
        <f t="shared" ref="D36:J36" si="10">D35/D33</f>
        <v>0.15068493150684931</v>
      </c>
      <c r="E36" s="44">
        <f t="shared" si="10"/>
        <v>0.16164383561643836</v>
      </c>
      <c r="F36" s="44">
        <f t="shared" si="10"/>
        <v>0.17534246575342466</v>
      </c>
      <c r="G36" s="44">
        <f t="shared" si="10"/>
        <v>0.17534246575342466</v>
      </c>
      <c r="H36" s="44">
        <f t="shared" si="10"/>
        <v>0.17534246575342466</v>
      </c>
      <c r="I36" s="44">
        <f t="shared" si="10"/>
        <v>0.17534246575342466</v>
      </c>
      <c r="J36" s="44">
        <f t="shared" si="10"/>
        <v>0.17534246575342466</v>
      </c>
      <c r="K36" s="41"/>
      <c r="L36" s="41"/>
      <c r="M36" s="41"/>
      <c r="N36" s="41"/>
      <c r="O36" s="41"/>
    </row>
    <row r="37" spans="2:15" x14ac:dyDescent="0.3">
      <c r="K37" s="37"/>
      <c r="L37" s="37"/>
    </row>
    <row r="38" spans="2:15" x14ac:dyDescent="0.3">
      <c r="K38" s="37"/>
      <c r="L38" s="37"/>
    </row>
    <row r="39" spans="2:15" x14ac:dyDescent="0.3">
      <c r="B39" s="24" t="s">
        <v>189</v>
      </c>
      <c r="K39" s="37"/>
      <c r="L39" s="37"/>
      <c r="M39" s="37"/>
    </row>
    <row r="40" spans="2:15" x14ac:dyDescent="0.3">
      <c r="B40" t="s">
        <v>180</v>
      </c>
      <c r="C40" s="37">
        <f>J21</f>
        <v>123</v>
      </c>
      <c r="D40" s="37">
        <f t="shared" ref="D40:E40" si="11">K21</f>
        <v>143</v>
      </c>
      <c r="E40" s="37">
        <f t="shared" si="11"/>
        <v>152</v>
      </c>
      <c r="F40" s="40">
        <v>160</v>
      </c>
      <c r="G40" s="40">
        <v>160</v>
      </c>
      <c r="H40" s="40">
        <v>160</v>
      </c>
      <c r="I40" s="40">
        <v>160</v>
      </c>
      <c r="J40" s="40">
        <v>160</v>
      </c>
    </row>
    <row r="41" spans="2:15" x14ac:dyDescent="0.3">
      <c r="B41" t="s">
        <v>146</v>
      </c>
      <c r="C41" s="14">
        <f>C25</f>
        <v>60580</v>
      </c>
      <c r="D41" s="14">
        <f t="shared" ref="D41:J41" si="12">D25</f>
        <v>61896</v>
      </c>
      <c r="E41" s="14">
        <f t="shared" si="12"/>
        <v>63121</v>
      </c>
      <c r="F41" s="14">
        <f t="shared" si="12"/>
        <v>66277.05</v>
      </c>
      <c r="G41" s="14">
        <f t="shared" si="12"/>
        <v>69590.902500000011</v>
      </c>
      <c r="H41" s="14">
        <f t="shared" si="12"/>
        <v>73070.447625000015</v>
      </c>
      <c r="I41" s="14">
        <f t="shared" si="12"/>
        <v>76723.97000625002</v>
      </c>
      <c r="J41" s="14">
        <f t="shared" si="12"/>
        <v>80560.168506562521</v>
      </c>
    </row>
    <row r="42" spans="2:15" ht="15" thickBot="1" x14ac:dyDescent="0.35">
      <c r="B42" t="s">
        <v>190</v>
      </c>
      <c r="C42">
        <v>365</v>
      </c>
      <c r="D42">
        <v>365</v>
      </c>
      <c r="E42">
        <v>365</v>
      </c>
      <c r="F42">
        <v>365</v>
      </c>
      <c r="G42">
        <v>365</v>
      </c>
      <c r="H42">
        <v>365</v>
      </c>
      <c r="I42">
        <v>365</v>
      </c>
      <c r="J42">
        <v>365</v>
      </c>
    </row>
    <row r="43" spans="2:15" x14ac:dyDescent="0.3">
      <c r="B43" s="42" t="s">
        <v>191</v>
      </c>
      <c r="C43" s="45">
        <f t="shared" ref="C43:J43" si="13">(C41/C42)*C40</f>
        <v>20414.630136986303</v>
      </c>
      <c r="D43" s="45">
        <f t="shared" si="13"/>
        <v>24249.665753424659</v>
      </c>
      <c r="E43" s="45">
        <f t="shared" si="13"/>
        <v>26286.005479452055</v>
      </c>
      <c r="F43" s="45">
        <f t="shared" si="13"/>
        <v>29052.953424657535</v>
      </c>
      <c r="G43" s="45">
        <f t="shared" si="13"/>
        <v>30505.601095890415</v>
      </c>
      <c r="H43" s="45">
        <f t="shared" si="13"/>
        <v>32030.881150684938</v>
      </c>
      <c r="I43" s="45">
        <f t="shared" si="13"/>
        <v>33632.425208219189</v>
      </c>
      <c r="J43" s="45">
        <f t="shared" si="13"/>
        <v>35314.046468630142</v>
      </c>
    </row>
    <row r="44" spans="2:15" x14ac:dyDescent="0.3">
      <c r="B44" t="s">
        <v>192</v>
      </c>
      <c r="C44" s="27">
        <f>C43/C41</f>
        <v>0.33698630136986302</v>
      </c>
      <c r="D44" s="27">
        <f t="shared" ref="D44:J44" si="14">D43/D41</f>
        <v>0.39178082191780822</v>
      </c>
      <c r="E44" s="27">
        <f t="shared" si="14"/>
        <v>0.41643835616438357</v>
      </c>
      <c r="F44" s="27">
        <f t="shared" si="14"/>
        <v>0.43835616438356162</v>
      </c>
      <c r="G44" s="27">
        <f t="shared" si="14"/>
        <v>0.43835616438356162</v>
      </c>
      <c r="H44" s="27">
        <f t="shared" si="14"/>
        <v>0.43835616438356162</v>
      </c>
      <c r="I44" s="27">
        <f t="shared" si="14"/>
        <v>0.43835616438356168</v>
      </c>
      <c r="J44" s="27">
        <f t="shared" si="14"/>
        <v>0.43835616438356162</v>
      </c>
    </row>
    <row r="47" spans="2:15" x14ac:dyDescent="0.3">
      <c r="B47" s="46" t="s">
        <v>184</v>
      </c>
      <c r="C47" s="14">
        <f t="shared" ref="C47:J47" si="15">C28</f>
        <v>3153.4794520547944</v>
      </c>
      <c r="D47" s="14">
        <f t="shared" si="15"/>
        <v>3052.4054794520548</v>
      </c>
      <c r="E47" s="14">
        <f t="shared" si="15"/>
        <v>3804.5534246575339</v>
      </c>
      <c r="F47" s="14">
        <f t="shared" si="15"/>
        <v>2723.7143835616439</v>
      </c>
      <c r="G47" s="14">
        <f t="shared" si="15"/>
        <v>2859.9001027397262</v>
      </c>
      <c r="H47" s="14">
        <f t="shared" si="15"/>
        <v>3002.8951078767127</v>
      </c>
      <c r="I47" s="14">
        <f t="shared" si="15"/>
        <v>3153.0398632705487</v>
      </c>
      <c r="J47" s="14">
        <f t="shared" si="15"/>
        <v>3310.6918564340763</v>
      </c>
    </row>
    <row r="48" spans="2:15" x14ac:dyDescent="0.3">
      <c r="B48" s="46" t="s">
        <v>193</v>
      </c>
      <c r="C48" s="14">
        <f t="shared" ref="C48:J48" si="16">C35</f>
        <v>9128.4931506849316</v>
      </c>
      <c r="D48" s="14">
        <f t="shared" si="16"/>
        <v>9326.7945205479446</v>
      </c>
      <c r="E48" s="14">
        <f t="shared" si="16"/>
        <v>10203.120547945206</v>
      </c>
      <c r="F48" s="14">
        <f t="shared" si="16"/>
        <v>11621.181369863014</v>
      </c>
      <c r="G48" s="14">
        <f t="shared" si="16"/>
        <v>12202.240438356166</v>
      </c>
      <c r="H48" s="14">
        <f t="shared" si="16"/>
        <v>12812.352460273974</v>
      </c>
      <c r="I48" s="14">
        <f t="shared" si="16"/>
        <v>13452.970083287675</v>
      </c>
      <c r="J48" s="14">
        <f t="shared" si="16"/>
        <v>14125.618587452058</v>
      </c>
    </row>
    <row r="49" spans="2:15" ht="15" thickBot="1" x14ac:dyDescent="0.35">
      <c r="B49" s="46" t="s">
        <v>191</v>
      </c>
      <c r="C49" s="14">
        <f>C43</f>
        <v>20414.630136986303</v>
      </c>
      <c r="D49" s="14">
        <f t="shared" ref="D49:J49" si="17">D43</f>
        <v>24249.665753424659</v>
      </c>
      <c r="E49" s="14">
        <f t="shared" si="17"/>
        <v>26286.005479452055</v>
      </c>
      <c r="F49" s="14">
        <f t="shared" si="17"/>
        <v>29052.953424657535</v>
      </c>
      <c r="G49" s="14">
        <f t="shared" si="17"/>
        <v>30505.601095890415</v>
      </c>
      <c r="H49" s="14">
        <f t="shared" si="17"/>
        <v>32030.881150684938</v>
      </c>
      <c r="I49" s="14">
        <f t="shared" si="17"/>
        <v>33632.425208219189</v>
      </c>
      <c r="J49" s="14">
        <f t="shared" si="17"/>
        <v>35314.046468630142</v>
      </c>
    </row>
    <row r="50" spans="2:15" x14ac:dyDescent="0.3">
      <c r="B50" s="42" t="s">
        <v>194</v>
      </c>
      <c r="C50" s="30">
        <f>C47+C48-C49</f>
        <v>-8132.6575342465767</v>
      </c>
      <c r="D50" s="30">
        <f>D47+D48-D49</f>
        <v>-11870.46575342466</v>
      </c>
      <c r="E50" s="30">
        <f t="shared" ref="E50:J50" si="18">E47+E48-E49</f>
        <v>-12278.331506849316</v>
      </c>
      <c r="F50" s="30">
        <f t="shared" si="18"/>
        <v>-14708.057671232877</v>
      </c>
      <c r="G50" s="30">
        <f t="shared" si="18"/>
        <v>-15443.460554794523</v>
      </c>
      <c r="H50" s="30">
        <f t="shared" si="18"/>
        <v>-16215.63358253425</v>
      </c>
      <c r="I50" s="30">
        <f t="shared" si="18"/>
        <v>-17026.415261660964</v>
      </c>
      <c r="J50" s="30">
        <f t="shared" si="18"/>
        <v>-17877.736024744008</v>
      </c>
    </row>
    <row r="53" spans="2:15" x14ac:dyDescent="0.3">
      <c r="B53" s="20" t="s">
        <v>195</v>
      </c>
      <c r="C53" s="20"/>
      <c r="D53" s="47">
        <f>D50-C50</f>
        <v>-3737.8082191780832</v>
      </c>
      <c r="E53" s="47">
        <f t="shared" ref="E53:J53" si="19">E50-D50</f>
        <v>-407.86575342465585</v>
      </c>
      <c r="F53" s="47">
        <f t="shared" si="19"/>
        <v>-2429.7261643835609</v>
      </c>
      <c r="G53" s="47">
        <f t="shared" si="19"/>
        <v>-735.40288356164638</v>
      </c>
      <c r="H53" s="47">
        <f t="shared" si="19"/>
        <v>-772.17302773972733</v>
      </c>
      <c r="I53" s="47">
        <f t="shared" si="19"/>
        <v>-810.78167912671415</v>
      </c>
      <c r="J53" s="47">
        <f t="shared" si="19"/>
        <v>-851.32076308304386</v>
      </c>
    </row>
    <row r="55" spans="2:15" x14ac:dyDescent="0.3">
      <c r="B55" s="20" t="s">
        <v>196</v>
      </c>
    </row>
    <row r="57" spans="2:15" x14ac:dyDescent="0.3">
      <c r="B57" s="24" t="s">
        <v>171</v>
      </c>
      <c r="C57" s="33">
        <f>C5</f>
        <v>42430</v>
      </c>
      <c r="D57" s="33">
        <f t="shared" ref="D57:L58" si="20">D5</f>
        <v>42795</v>
      </c>
      <c r="E57" s="33">
        <f t="shared" si="20"/>
        <v>43160</v>
      </c>
      <c r="F57" s="33">
        <f t="shared" si="20"/>
        <v>43525</v>
      </c>
      <c r="G57" s="33">
        <f t="shared" si="20"/>
        <v>43891</v>
      </c>
      <c r="H57" s="33">
        <f t="shared" si="20"/>
        <v>44256</v>
      </c>
      <c r="I57" s="33">
        <f t="shared" si="20"/>
        <v>44621</v>
      </c>
      <c r="J57" s="33">
        <f t="shared" si="20"/>
        <v>44986</v>
      </c>
      <c r="K57" s="33">
        <f t="shared" si="20"/>
        <v>45352</v>
      </c>
      <c r="L57" s="33">
        <f t="shared" si="20"/>
        <v>45717</v>
      </c>
    </row>
    <row r="58" spans="2:15" x14ac:dyDescent="0.3">
      <c r="B58" t="s">
        <v>13</v>
      </c>
      <c r="C58" s="14">
        <f>'Raw Data'!C5</f>
        <v>32186</v>
      </c>
      <c r="D58" s="14">
        <f>'Raw Data'!D5</f>
        <v>33162</v>
      </c>
      <c r="E58" s="14">
        <f>'Raw Data'!E5</f>
        <v>35545</v>
      </c>
      <c r="F58" s="14">
        <f>'Raw Data'!F5</f>
        <v>39310</v>
      </c>
      <c r="G58" s="14">
        <f>'Raw Data'!G5</f>
        <v>39783</v>
      </c>
      <c r="H58" s="14">
        <f>'Raw Data'!H5</f>
        <v>47028</v>
      </c>
      <c r="I58" s="14">
        <f>'Raw Data'!I5</f>
        <v>52446</v>
      </c>
      <c r="J58" s="14">
        <f>'Raw Data'!J5</f>
        <v>60580</v>
      </c>
      <c r="K58" s="14">
        <f>'Raw Data'!K5</f>
        <v>61896</v>
      </c>
      <c r="L58" s="14">
        <f>'Raw Data'!L5</f>
        <v>63121</v>
      </c>
    </row>
    <row r="59" spans="2:15" x14ac:dyDescent="0.3">
      <c r="B59" s="18" t="s">
        <v>116</v>
      </c>
      <c r="C59" s="17">
        <f>'Raw Data'!C82</f>
        <v>-810</v>
      </c>
      <c r="D59" s="17">
        <f>'Raw Data'!D82</f>
        <v>-1113</v>
      </c>
      <c r="E59" s="17">
        <f>'Raw Data'!E82</f>
        <v>-895</v>
      </c>
      <c r="F59" s="17">
        <f>'Raw Data'!F82</f>
        <v>-767</v>
      </c>
      <c r="G59" s="17">
        <f>'Raw Data'!G82</f>
        <v>-862</v>
      </c>
      <c r="H59" s="17">
        <f>'Raw Data'!H82</f>
        <v>-4163</v>
      </c>
      <c r="I59" s="17">
        <f>'Raw Data'!I82</f>
        <v>-1228</v>
      </c>
      <c r="J59" s="17">
        <f>'Raw Data'!J82</f>
        <v>-1192</v>
      </c>
      <c r="K59" s="17">
        <f>'Raw Data'!K82</f>
        <v>-1477</v>
      </c>
      <c r="L59" s="17">
        <f>'Raw Data'!L82</f>
        <v>-1275</v>
      </c>
    </row>
    <row r="60" spans="2:15" x14ac:dyDescent="0.3">
      <c r="B60" s="18" t="s">
        <v>117</v>
      </c>
      <c r="C60" s="19">
        <f>'Raw Data'!C83</f>
        <v>99</v>
      </c>
      <c r="D60" s="19">
        <f>'Raw Data'!D83</f>
        <v>176</v>
      </c>
      <c r="E60" s="19">
        <f>'Raw Data'!E83</f>
        <v>32</v>
      </c>
      <c r="F60" s="19">
        <f>'Raw Data'!F83</f>
        <v>13</v>
      </c>
      <c r="G60" s="19">
        <f>'Raw Data'!G83</f>
        <v>52</v>
      </c>
      <c r="H60" s="19">
        <f>'Raw Data'!H83</f>
        <v>97</v>
      </c>
      <c r="I60" s="19">
        <f>'Raw Data'!I83</f>
        <v>175</v>
      </c>
      <c r="J60" s="19">
        <f>'Raw Data'!J83</f>
        <v>181</v>
      </c>
      <c r="K60" s="19">
        <f>'Raw Data'!K83</f>
        <v>20</v>
      </c>
      <c r="L60" s="19">
        <f>'Raw Data'!L83</f>
        <v>13</v>
      </c>
    </row>
    <row r="61" spans="2:15" x14ac:dyDescent="0.3">
      <c r="B61" s="20" t="s">
        <v>197</v>
      </c>
      <c r="C61" s="47">
        <f>-C59-C60</f>
        <v>711</v>
      </c>
      <c r="D61" s="47">
        <f t="shared" ref="D61:K61" si="21">-D59-D60</f>
        <v>937</v>
      </c>
      <c r="E61" s="47">
        <f t="shared" si="21"/>
        <v>863</v>
      </c>
      <c r="F61" s="47">
        <f t="shared" si="21"/>
        <v>754</v>
      </c>
      <c r="G61" s="47">
        <f t="shared" si="21"/>
        <v>810</v>
      </c>
      <c r="H61" s="47">
        <f t="shared" si="21"/>
        <v>4066</v>
      </c>
      <c r="I61" s="47">
        <f t="shared" si="21"/>
        <v>1053</v>
      </c>
      <c r="J61" s="47">
        <f t="shared" si="21"/>
        <v>1011</v>
      </c>
      <c r="K61" s="47">
        <f t="shared" si="21"/>
        <v>1457</v>
      </c>
      <c r="L61" s="47">
        <f>-L59-L60</f>
        <v>1262</v>
      </c>
    </row>
    <row r="62" spans="2:15" x14ac:dyDescent="0.3">
      <c r="C62" s="14"/>
      <c r="D62" s="14"/>
      <c r="E62" s="14"/>
      <c r="F62" s="14"/>
      <c r="G62" s="14"/>
      <c r="H62" s="14"/>
      <c r="I62" s="14"/>
      <c r="J62" s="14"/>
      <c r="K62" s="14"/>
      <c r="L62" s="14"/>
      <c r="N62" s="14"/>
      <c r="O62" s="14"/>
    </row>
    <row r="63" spans="2:15" x14ac:dyDescent="0.3">
      <c r="B63" t="s">
        <v>90</v>
      </c>
      <c r="C63" s="14">
        <f>'Raw Data'!C53</f>
        <v>3595</v>
      </c>
      <c r="D63" s="14">
        <f>'Raw Data'!D53</f>
        <v>5171</v>
      </c>
      <c r="E63" s="14">
        <f>'Raw Data'!E53</f>
        <v>5752</v>
      </c>
      <c r="F63" s="14">
        <f>'Raw Data'!F53</f>
        <v>6459</v>
      </c>
      <c r="G63" s="14">
        <f>'Raw Data'!G53</f>
        <v>7979</v>
      </c>
      <c r="H63" s="14">
        <f>'Raw Data'!H53</f>
        <v>54924</v>
      </c>
      <c r="I63" s="14">
        <f>'Raw Data'!I53</f>
        <v>55578</v>
      </c>
      <c r="J63" s="14">
        <f>'Raw Data'!J53</f>
        <v>57564</v>
      </c>
      <c r="K63" s="14">
        <f>'Raw Data'!K53</f>
        <v>59451</v>
      </c>
      <c r="L63" s="14">
        <f>'Raw Data'!L53</f>
        <v>60764</v>
      </c>
    </row>
    <row r="64" spans="2:15" ht="15" thickBot="1" x14ac:dyDescent="0.35">
      <c r="B64" t="s">
        <v>91</v>
      </c>
      <c r="C64" s="14">
        <f>'Raw Data'!C54</f>
        <v>337</v>
      </c>
      <c r="D64" s="14">
        <f>'Raw Data'!D54</f>
        <v>752</v>
      </c>
      <c r="E64" s="14">
        <f>'Raw Data'!E54</f>
        <v>1224</v>
      </c>
      <c r="F64" s="14">
        <f>'Raw Data'!F54</f>
        <v>1744</v>
      </c>
      <c r="G64" s="14">
        <f>'Raw Data'!G54</f>
        <v>2500</v>
      </c>
      <c r="H64" s="14">
        <f>'Raw Data'!H54</f>
        <v>3481</v>
      </c>
      <c r="I64" s="14">
        <f>'Raw Data'!I54</f>
        <v>4105</v>
      </c>
      <c r="J64" s="14">
        <f>'Raw Data'!J54</f>
        <v>4886</v>
      </c>
      <c r="K64" s="14">
        <f>'Raw Data'!K54</f>
        <v>5707</v>
      </c>
      <c r="L64" s="14">
        <f>'Raw Data'!L54</f>
        <v>6429</v>
      </c>
    </row>
    <row r="65" spans="2:15" x14ac:dyDescent="0.3">
      <c r="B65" s="42" t="s">
        <v>198</v>
      </c>
      <c r="C65" s="29">
        <f>C63-C64</f>
        <v>3258</v>
      </c>
      <c r="D65" s="29">
        <f t="shared" ref="D65:L65" si="22">D63-D64</f>
        <v>4419</v>
      </c>
      <c r="E65" s="29">
        <f t="shared" si="22"/>
        <v>4528</v>
      </c>
      <c r="F65" s="29">
        <f t="shared" si="22"/>
        <v>4715</v>
      </c>
      <c r="G65" s="29">
        <f t="shared" si="22"/>
        <v>5479</v>
      </c>
      <c r="H65" s="29">
        <f t="shared" si="22"/>
        <v>51443</v>
      </c>
      <c r="I65" s="29">
        <f t="shared" si="22"/>
        <v>51473</v>
      </c>
      <c r="J65" s="29">
        <f t="shared" si="22"/>
        <v>52678</v>
      </c>
      <c r="K65" s="29">
        <f t="shared" si="22"/>
        <v>53744</v>
      </c>
      <c r="L65" s="29">
        <f t="shared" si="22"/>
        <v>54335</v>
      </c>
    </row>
    <row r="67" spans="2:15" x14ac:dyDescent="0.3">
      <c r="B67" t="s">
        <v>199</v>
      </c>
      <c r="D67" s="48">
        <f>(D58-C58)/(D63-C63)</f>
        <v>0.61928934010152281</v>
      </c>
      <c r="E67" s="48">
        <f t="shared" ref="E67:L67" si="23">(E58-D58)/(E63-D63)</f>
        <v>4.1015490533562824</v>
      </c>
      <c r="F67" s="48">
        <f t="shared" si="23"/>
        <v>5.3253182461103252</v>
      </c>
      <c r="G67" s="48">
        <f t="shared" si="23"/>
        <v>0.31118421052631579</v>
      </c>
      <c r="H67" s="48">
        <f t="shared" si="23"/>
        <v>0.15432953456172116</v>
      </c>
      <c r="I67" s="48">
        <f t="shared" si="23"/>
        <v>8.2844036697247709</v>
      </c>
      <c r="J67" s="48">
        <f t="shared" si="23"/>
        <v>4.095669687814703</v>
      </c>
      <c r="K67" s="48">
        <f t="shared" si="23"/>
        <v>0.69740328563857978</v>
      </c>
      <c r="L67" s="48">
        <f t="shared" si="23"/>
        <v>0.93297791317593293</v>
      </c>
      <c r="N67" s="48">
        <f>MEDIAN(D67:L67)</f>
        <v>0.93297791317593293</v>
      </c>
      <c r="O67" s="48">
        <f>AVERAGE(D67:L67)</f>
        <v>2.7246805490011279</v>
      </c>
    </row>
    <row r="68" spans="2:15" x14ac:dyDescent="0.3">
      <c r="N68" s="48"/>
      <c r="O68" s="48"/>
    </row>
    <row r="69" spans="2:15" x14ac:dyDescent="0.3">
      <c r="B69" t="s">
        <v>207</v>
      </c>
      <c r="C69" s="48">
        <f>C58/C63</f>
        <v>8.9529902642559112</v>
      </c>
      <c r="D69" s="48">
        <f t="shared" ref="D69:L69" si="24">D58/D63</f>
        <v>6.4130729065944694</v>
      </c>
      <c r="E69" s="48">
        <f t="shared" si="24"/>
        <v>6.1795897079276774</v>
      </c>
      <c r="F69" s="48">
        <f t="shared" si="24"/>
        <v>6.0860814367549159</v>
      </c>
      <c r="G69" s="48">
        <f t="shared" si="24"/>
        <v>4.9859631532773534</v>
      </c>
      <c r="H69" s="48">
        <f t="shared" si="24"/>
        <v>0.85623771029058338</v>
      </c>
      <c r="I69" s="48">
        <f t="shared" si="24"/>
        <v>0.94364676670625069</v>
      </c>
      <c r="J69" s="48">
        <f t="shared" si="24"/>
        <v>1.052393857271906</v>
      </c>
      <c r="K69" s="48">
        <f t="shared" si="24"/>
        <v>1.0411263056971287</v>
      </c>
      <c r="L69" s="48">
        <f t="shared" si="24"/>
        <v>1.03878941478507</v>
      </c>
      <c r="N69" s="48">
        <f t="shared" ref="N69" si="25">MEDIAN(D69:L69)</f>
        <v>1.052393857271906</v>
      </c>
      <c r="O69" s="48">
        <f t="shared" ref="O69" si="26">AVERAGE(D69:L69)</f>
        <v>3.1774334732561509</v>
      </c>
    </row>
    <row r="71" spans="2:15" x14ac:dyDescent="0.3">
      <c r="B71" s="24" t="str">
        <f>[1]DCF!B5</f>
        <v xml:space="preserve">Sales </v>
      </c>
      <c r="C71" s="25">
        <v>2023</v>
      </c>
      <c r="D71" s="25">
        <f>C71+1</f>
        <v>2024</v>
      </c>
      <c r="E71" s="25">
        <f>D71+1</f>
        <v>2025</v>
      </c>
      <c r="F71" s="26">
        <v>2026</v>
      </c>
      <c r="G71" s="26">
        <v>2027</v>
      </c>
      <c r="H71" s="26">
        <v>2028</v>
      </c>
      <c r="I71" s="26">
        <v>2029</v>
      </c>
      <c r="J71" s="26">
        <v>2030</v>
      </c>
    </row>
    <row r="72" spans="2:15" x14ac:dyDescent="0.3">
      <c r="B72" t="s">
        <v>13</v>
      </c>
      <c r="C72" s="14">
        <f>'DCF Valuation'!C6</f>
        <v>60580</v>
      </c>
      <c r="D72" s="14">
        <f>'DCF Valuation'!D6</f>
        <v>61896</v>
      </c>
      <c r="E72" s="14">
        <f>'DCF Valuation'!E6</f>
        <v>63121</v>
      </c>
      <c r="F72" s="14">
        <f>'DCF Valuation'!F6</f>
        <v>66277.05</v>
      </c>
      <c r="G72" s="14">
        <f>'DCF Valuation'!G6</f>
        <v>69590.902500000011</v>
      </c>
      <c r="H72" s="14">
        <f>'DCF Valuation'!H6</f>
        <v>73070.447625000015</v>
      </c>
      <c r="I72" s="14">
        <f>'DCF Valuation'!I6</f>
        <v>76723.97000625002</v>
      </c>
      <c r="J72" s="14">
        <f>'DCF Valuation'!J6</f>
        <v>80560.168506562521</v>
      </c>
    </row>
    <row r="73" spans="2:15" x14ac:dyDescent="0.3">
      <c r="B73" t="s">
        <v>200</v>
      </c>
      <c r="C73" s="48">
        <f>J69</f>
        <v>1.052393857271906</v>
      </c>
      <c r="D73" s="48">
        <f t="shared" ref="D73:E73" si="27">K69</f>
        <v>1.0411263056971287</v>
      </c>
      <c r="E73" s="48">
        <f t="shared" si="27"/>
        <v>1.03878941478507</v>
      </c>
      <c r="F73">
        <v>1.05</v>
      </c>
      <c r="G73">
        <v>1.05</v>
      </c>
      <c r="H73">
        <v>1.05</v>
      </c>
      <c r="I73">
        <v>1.05</v>
      </c>
      <c r="J73">
        <v>1.05</v>
      </c>
    </row>
    <row r="75" spans="2:15" x14ac:dyDescent="0.3">
      <c r="B75" t="s">
        <v>201</v>
      </c>
      <c r="C75" s="14">
        <f>C72/C73</f>
        <v>57564</v>
      </c>
      <c r="D75" s="14">
        <f t="shared" ref="D75:J75" si="28">D72/D73</f>
        <v>59451</v>
      </c>
      <c r="E75" s="14">
        <f t="shared" si="28"/>
        <v>60764.000000000007</v>
      </c>
      <c r="F75" s="14">
        <f t="shared" si="28"/>
        <v>63121</v>
      </c>
      <c r="G75" s="14">
        <f t="shared" si="28"/>
        <v>66277.05</v>
      </c>
      <c r="H75" s="14">
        <f t="shared" si="28"/>
        <v>69590.902500000011</v>
      </c>
      <c r="I75" s="14">
        <f t="shared" si="28"/>
        <v>73070.447625000015</v>
      </c>
      <c r="J75" s="14">
        <f t="shared" si="28"/>
        <v>76723.97000625002</v>
      </c>
    </row>
    <row r="77" spans="2:15" x14ac:dyDescent="0.3">
      <c r="B77" t="s">
        <v>202</v>
      </c>
      <c r="C77" s="14">
        <f>C80</f>
        <v>1137</v>
      </c>
      <c r="D77" s="14">
        <f t="shared" ref="D77:J77" si="29">D80</f>
        <v>1216</v>
      </c>
      <c r="E77" s="14">
        <f t="shared" si="29"/>
        <v>1355</v>
      </c>
      <c r="F77" s="14">
        <f t="shared" si="29"/>
        <v>1325.5410000000002</v>
      </c>
      <c r="G77" s="14">
        <f t="shared" si="29"/>
        <v>1391.8180500000003</v>
      </c>
      <c r="H77" s="14">
        <f t="shared" si="29"/>
        <v>1461.4089525000004</v>
      </c>
      <c r="I77" s="14">
        <f t="shared" si="29"/>
        <v>1534.4794001250004</v>
      </c>
      <c r="J77" s="14">
        <f t="shared" si="29"/>
        <v>1611.2033701312505</v>
      </c>
    </row>
    <row r="79" spans="2:15" x14ac:dyDescent="0.3">
      <c r="B79" t="s">
        <v>203</v>
      </c>
      <c r="C79" s="49">
        <f>'Raw Data'!J21</f>
        <v>1.8768570485308684E-2</v>
      </c>
      <c r="D79" s="49">
        <f>'Raw Data'!K21</f>
        <v>1.9645857567532635E-2</v>
      </c>
      <c r="E79" s="49">
        <f>'Raw Data'!L21</f>
        <v>2.1466706801223048E-2</v>
      </c>
      <c r="F79" s="53">
        <v>0.02</v>
      </c>
      <c r="G79" s="53">
        <v>0.02</v>
      </c>
      <c r="H79" s="53">
        <v>0.02</v>
      </c>
      <c r="I79" s="53">
        <v>0.02</v>
      </c>
      <c r="J79" s="53">
        <v>0.02</v>
      </c>
    </row>
    <row r="80" spans="2:15" x14ac:dyDescent="0.3">
      <c r="B80" t="s">
        <v>204</v>
      </c>
      <c r="C80" s="14">
        <f>C72*C79</f>
        <v>1137</v>
      </c>
      <c r="D80" s="14">
        <f t="shared" ref="D80:J80" si="30">D72*D79</f>
        <v>1216</v>
      </c>
      <c r="E80" s="14">
        <f t="shared" si="30"/>
        <v>1355</v>
      </c>
      <c r="F80" s="14">
        <f t="shared" si="30"/>
        <v>1325.5410000000002</v>
      </c>
      <c r="G80" s="14">
        <f t="shared" si="30"/>
        <v>1391.8180500000003</v>
      </c>
      <c r="H80" s="14">
        <f t="shared" si="30"/>
        <v>1461.4089525000004</v>
      </c>
      <c r="I80" s="14">
        <f t="shared" si="30"/>
        <v>1534.4794001250004</v>
      </c>
      <c r="J80" s="14">
        <f t="shared" si="30"/>
        <v>1611.2033701312505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workbookViewId="0">
      <selection activeCell="A25" sqref="A25"/>
    </sheetView>
  </sheetViews>
  <sheetFormatPr defaultRowHeight="14.4" x14ac:dyDescent="0.3"/>
  <cols>
    <col min="1" max="1" width="26" bestFit="1" customWidth="1"/>
  </cols>
  <sheetData>
    <row r="1" spans="1:11" x14ac:dyDescent="0.3">
      <c r="A1" s="2" t="s">
        <v>0</v>
      </c>
      <c r="B1" s="2" t="s">
        <v>1</v>
      </c>
      <c r="C1" s="2"/>
      <c r="D1" s="2"/>
      <c r="E1" s="11" t="s">
        <v>2</v>
      </c>
      <c r="F1" s="11"/>
      <c r="G1" s="11"/>
      <c r="H1" s="11"/>
      <c r="I1" s="11"/>
      <c r="J1" s="11"/>
      <c r="K1" s="11"/>
    </row>
    <row r="2" spans="1:11" x14ac:dyDescent="0.3">
      <c r="A2" s="2" t="s">
        <v>3</v>
      </c>
      <c r="B2" s="3">
        <v>2.1</v>
      </c>
      <c r="C2" s="1"/>
      <c r="D2" s="1"/>
      <c r="E2" s="12" t="s">
        <v>4</v>
      </c>
      <c r="F2" s="12"/>
      <c r="G2" s="12"/>
      <c r="H2" s="12"/>
      <c r="I2" s="12"/>
      <c r="J2" s="12"/>
      <c r="K2" s="12"/>
    </row>
    <row r="3" spans="1:11" x14ac:dyDescent="0.3">
      <c r="A3" s="2" t="s">
        <v>5</v>
      </c>
      <c r="B3" s="3">
        <v>2.1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2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3">
      <c r="A5" s="2" t="s">
        <v>6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3">
      <c r="A6" s="3" t="s">
        <v>7</v>
      </c>
      <c r="B6" s="3" t="s">
        <v>2</v>
      </c>
      <c r="C6" s="1"/>
      <c r="D6" s="1"/>
      <c r="E6" s="1"/>
      <c r="F6" s="1"/>
      <c r="G6" s="1"/>
      <c r="H6" s="1"/>
      <c r="I6" s="1"/>
      <c r="J6" s="1"/>
      <c r="K6" s="1"/>
    </row>
    <row r="7" spans="1:11" x14ac:dyDescent="0.3">
      <c r="A7" s="3" t="s">
        <v>8</v>
      </c>
      <c r="B7" s="4">
        <v>1</v>
      </c>
      <c r="C7" s="1"/>
      <c r="D7" s="1"/>
      <c r="E7" s="1"/>
      <c r="F7" s="1"/>
      <c r="G7" s="1"/>
      <c r="H7" s="1"/>
      <c r="I7" s="1"/>
      <c r="J7" s="1"/>
      <c r="K7" s="1"/>
    </row>
    <row r="8" spans="1:11" x14ac:dyDescent="0.3">
      <c r="A8" s="3" t="s">
        <v>9</v>
      </c>
      <c r="B8" s="4">
        <v>2544.9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3">
      <c r="A9" s="3" t="s">
        <v>10</v>
      </c>
      <c r="B9" s="4">
        <v>597947.48</v>
      </c>
      <c r="C9" s="1"/>
      <c r="D9" s="1"/>
      <c r="E9" s="1"/>
      <c r="F9" s="1"/>
      <c r="G9" s="1"/>
      <c r="H9" s="1"/>
      <c r="I9" s="1"/>
      <c r="J9" s="1"/>
      <c r="K9" s="1"/>
    </row>
    <row r="15" spans="1:11" x14ac:dyDescent="0.3">
      <c r="A15" s="2" t="s">
        <v>11</v>
      </c>
      <c r="B15" s="3" t="s">
        <v>2</v>
      </c>
      <c r="C15" s="1"/>
      <c r="D15" s="1"/>
      <c r="E15" s="1"/>
      <c r="F15" s="1"/>
      <c r="G15" s="1"/>
      <c r="H15" s="1"/>
      <c r="I15" s="1"/>
      <c r="J15" s="1"/>
      <c r="K15" s="3" t="s">
        <v>2</v>
      </c>
    </row>
    <row r="16" spans="1:11" x14ac:dyDescent="0.3">
      <c r="A16" s="5" t="s">
        <v>12</v>
      </c>
      <c r="B16" s="6">
        <v>42460</v>
      </c>
      <c r="C16" s="6">
        <v>42825</v>
      </c>
      <c r="D16" s="6">
        <v>43190</v>
      </c>
      <c r="E16" s="6">
        <v>43555</v>
      </c>
      <c r="F16" s="6">
        <v>43921</v>
      </c>
      <c r="G16" s="6">
        <v>44286</v>
      </c>
      <c r="H16" s="6">
        <v>44651</v>
      </c>
      <c r="I16" s="6">
        <v>45016</v>
      </c>
      <c r="J16" s="6">
        <v>45382</v>
      </c>
      <c r="K16" s="6">
        <v>45747</v>
      </c>
    </row>
    <row r="17" spans="1:11" x14ac:dyDescent="0.3">
      <c r="A17" s="3" t="s">
        <v>13</v>
      </c>
      <c r="B17" s="4">
        <v>32186</v>
      </c>
      <c r="C17" s="4">
        <v>33162</v>
      </c>
      <c r="D17" s="4">
        <v>35545</v>
      </c>
      <c r="E17" s="4">
        <v>39310</v>
      </c>
      <c r="F17" s="4">
        <v>39783</v>
      </c>
      <c r="G17" s="4">
        <v>47028</v>
      </c>
      <c r="H17" s="4">
        <v>52446</v>
      </c>
      <c r="I17" s="4">
        <v>60580</v>
      </c>
      <c r="J17" s="4">
        <v>61896</v>
      </c>
      <c r="K17" s="4">
        <v>63121</v>
      </c>
    </row>
    <row r="18" spans="1:11" x14ac:dyDescent="0.3">
      <c r="A18" s="3" t="s">
        <v>14</v>
      </c>
      <c r="B18" s="7">
        <v>13184</v>
      </c>
      <c r="C18" s="7">
        <v>13606</v>
      </c>
      <c r="D18" s="7">
        <v>14233</v>
      </c>
      <c r="E18" s="7">
        <v>15845</v>
      </c>
      <c r="F18" s="7">
        <v>15697</v>
      </c>
      <c r="G18" s="7">
        <v>20141</v>
      </c>
      <c r="H18" s="7">
        <v>22871</v>
      </c>
      <c r="I18" s="7">
        <v>28427</v>
      </c>
      <c r="J18" s="7">
        <v>26822</v>
      </c>
      <c r="K18" s="7">
        <v>27344</v>
      </c>
    </row>
    <row r="19" spans="1:11" x14ac:dyDescent="0.3">
      <c r="A19" s="3" t="s">
        <v>15</v>
      </c>
      <c r="B19" s="7">
        <v>-83</v>
      </c>
      <c r="C19" s="7">
        <v>-144</v>
      </c>
      <c r="D19" s="7">
        <v>72</v>
      </c>
      <c r="E19" s="7">
        <v>-12</v>
      </c>
      <c r="F19" s="7">
        <v>108</v>
      </c>
      <c r="G19" s="7">
        <v>405</v>
      </c>
      <c r="H19" s="7">
        <v>22</v>
      </c>
      <c r="I19" s="7">
        <v>75</v>
      </c>
      <c r="J19" s="7">
        <v>11</v>
      </c>
      <c r="K19" s="7">
        <v>153</v>
      </c>
    </row>
    <row r="20" spans="1:11" x14ac:dyDescent="0.3">
      <c r="A20" s="3" t="s">
        <v>16</v>
      </c>
      <c r="B20" s="4">
        <v>309</v>
      </c>
      <c r="C20" s="4">
        <v>295</v>
      </c>
      <c r="D20" s="4">
        <v>295</v>
      </c>
      <c r="E20" s="4">
        <v>308</v>
      </c>
      <c r="F20" s="4">
        <v>299</v>
      </c>
      <c r="G20" s="4">
        <v>339</v>
      </c>
      <c r="H20" s="4">
        <v>318</v>
      </c>
      <c r="I20" s="4">
        <v>384</v>
      </c>
      <c r="J20" s="4">
        <v>446</v>
      </c>
      <c r="K20" s="4">
        <v>427</v>
      </c>
    </row>
    <row r="21" spans="1:11" x14ac:dyDescent="0.3">
      <c r="A21" s="3" t="s">
        <v>17</v>
      </c>
      <c r="B21" s="4">
        <v>2966</v>
      </c>
      <c r="C21" s="4">
        <v>2887</v>
      </c>
      <c r="D21" s="4">
        <v>2998</v>
      </c>
      <c r="E21" s="4">
        <v>3041</v>
      </c>
      <c r="F21" s="4">
        <v>2906</v>
      </c>
      <c r="G21" s="4">
        <v>2868</v>
      </c>
      <c r="H21" s="4">
        <v>3354</v>
      </c>
      <c r="I21" s="4">
        <v>3791</v>
      </c>
      <c r="J21" s="4">
        <v>3385</v>
      </c>
      <c r="K21" s="4">
        <v>3834</v>
      </c>
    </row>
    <row r="22" spans="1:11" x14ac:dyDescent="0.3">
      <c r="A22" s="3" t="s">
        <v>18</v>
      </c>
      <c r="B22" s="4">
        <v>1680</v>
      </c>
      <c r="C22" s="4">
        <v>1743</v>
      </c>
      <c r="D22" s="4">
        <v>1860</v>
      </c>
      <c r="E22" s="4">
        <v>1875</v>
      </c>
      <c r="F22" s="4">
        <v>1820</v>
      </c>
      <c r="G22" s="4">
        <v>2358</v>
      </c>
      <c r="H22" s="4">
        <v>2545</v>
      </c>
      <c r="I22" s="4">
        <v>2854</v>
      </c>
      <c r="J22" s="4">
        <v>3009</v>
      </c>
      <c r="K22" s="4">
        <v>3077</v>
      </c>
    </row>
    <row r="23" spans="1:11" x14ac:dyDescent="0.3">
      <c r="A23" s="3" t="s">
        <v>19</v>
      </c>
      <c r="B23" s="4">
        <v>6741</v>
      </c>
      <c r="C23" s="4">
        <v>6689</v>
      </c>
      <c r="D23" s="4">
        <v>7252</v>
      </c>
      <c r="E23" s="4">
        <v>7796</v>
      </c>
      <c r="F23" s="4">
        <v>7620</v>
      </c>
      <c r="G23" s="4">
        <v>7906</v>
      </c>
      <c r="H23" s="4">
        <v>8164</v>
      </c>
      <c r="I23" s="4">
        <v>8785</v>
      </c>
      <c r="J23" s="4">
        <v>10780</v>
      </c>
      <c r="K23" s="4">
        <v>10693</v>
      </c>
    </row>
    <row r="24" spans="1:11" x14ac:dyDescent="0.3">
      <c r="A24" s="3" t="s">
        <v>20</v>
      </c>
      <c r="B24" s="4">
        <v>1313</v>
      </c>
      <c r="C24" s="4">
        <v>1470</v>
      </c>
      <c r="D24" s="4">
        <v>1480</v>
      </c>
      <c r="E24" s="4">
        <v>1553</v>
      </c>
      <c r="F24" s="4">
        <v>1688</v>
      </c>
      <c r="G24" s="4">
        <v>2195</v>
      </c>
      <c r="H24" s="4">
        <v>2359</v>
      </c>
      <c r="I24" s="4">
        <v>2267</v>
      </c>
      <c r="J24" s="4">
        <v>2806</v>
      </c>
      <c r="K24" s="4">
        <v>3056</v>
      </c>
    </row>
    <row r="25" spans="1:11" x14ac:dyDescent="0.3">
      <c r="A25" s="3" t="s">
        <v>21</v>
      </c>
      <c r="B25" s="4">
        <v>486</v>
      </c>
      <c r="C25" s="4">
        <v>606</v>
      </c>
      <c r="D25" s="4">
        <v>353</v>
      </c>
      <c r="E25" s="4">
        <v>322</v>
      </c>
      <c r="F25" s="4">
        <v>424</v>
      </c>
      <c r="G25" s="4">
        <v>170</v>
      </c>
      <c r="H25" s="4">
        <v>219</v>
      </c>
      <c r="I25" s="4">
        <v>448</v>
      </c>
      <c r="J25" s="4">
        <v>817</v>
      </c>
      <c r="K25" s="4">
        <v>1322</v>
      </c>
    </row>
    <row r="26" spans="1:11" x14ac:dyDescent="0.3">
      <c r="A26" s="3" t="s">
        <v>22</v>
      </c>
      <c r="B26" s="4">
        <v>353</v>
      </c>
      <c r="C26" s="4">
        <v>432</v>
      </c>
      <c r="D26" s="4">
        <v>520</v>
      </c>
      <c r="E26" s="4">
        <v>565</v>
      </c>
      <c r="F26" s="4">
        <v>1002</v>
      </c>
      <c r="G26" s="4">
        <v>1074</v>
      </c>
      <c r="H26" s="4">
        <v>1091</v>
      </c>
      <c r="I26" s="4">
        <v>1137</v>
      </c>
      <c r="J26" s="4">
        <v>1216</v>
      </c>
      <c r="K26" s="4">
        <v>1355</v>
      </c>
    </row>
    <row r="27" spans="1:11" x14ac:dyDescent="0.3">
      <c r="A27" s="3" t="s">
        <v>23</v>
      </c>
      <c r="B27" s="4">
        <v>17</v>
      </c>
      <c r="C27" s="4">
        <v>35</v>
      </c>
      <c r="D27" s="4">
        <v>26</v>
      </c>
      <c r="E27" s="4">
        <v>33</v>
      </c>
      <c r="F27" s="4">
        <v>118</v>
      </c>
      <c r="G27" s="4">
        <v>117</v>
      </c>
      <c r="H27" s="4">
        <v>106</v>
      </c>
      <c r="I27" s="4">
        <v>114</v>
      </c>
      <c r="J27" s="7">
        <v>334</v>
      </c>
      <c r="K27" s="7">
        <v>395</v>
      </c>
    </row>
    <row r="28" spans="1:11" x14ac:dyDescent="0.3">
      <c r="A28" s="3" t="s">
        <v>24</v>
      </c>
      <c r="B28" s="4">
        <v>6026</v>
      </c>
      <c r="C28" s="4">
        <v>6467</v>
      </c>
      <c r="D28" s="4">
        <v>7306</v>
      </c>
      <c r="E28" s="4">
        <v>8604</v>
      </c>
      <c r="F28" s="4">
        <v>9165</v>
      </c>
      <c r="G28" s="4">
        <v>10605</v>
      </c>
      <c r="H28" s="4">
        <v>11879</v>
      </c>
      <c r="I28" s="4">
        <v>13344</v>
      </c>
      <c r="J28" s="4">
        <v>13926</v>
      </c>
      <c r="K28" s="4">
        <v>14415</v>
      </c>
    </row>
    <row r="29" spans="1:11" x14ac:dyDescent="0.3">
      <c r="A29" s="3" t="s">
        <v>25</v>
      </c>
      <c r="B29" s="4">
        <v>1875</v>
      </c>
      <c r="C29" s="4">
        <v>1977</v>
      </c>
      <c r="D29" s="4">
        <v>2079</v>
      </c>
      <c r="E29" s="4">
        <v>2544</v>
      </c>
      <c r="F29" s="4">
        <v>2409</v>
      </c>
      <c r="G29" s="4">
        <v>2606</v>
      </c>
      <c r="H29" s="4">
        <v>2987</v>
      </c>
      <c r="I29" s="4">
        <v>3201</v>
      </c>
      <c r="J29" s="4">
        <v>3644</v>
      </c>
      <c r="K29" s="4">
        <v>3744</v>
      </c>
    </row>
    <row r="30" spans="1:11" x14ac:dyDescent="0.3">
      <c r="A30" s="3" t="s">
        <v>26</v>
      </c>
      <c r="B30" s="4">
        <v>4151</v>
      </c>
      <c r="C30" s="4">
        <v>4476</v>
      </c>
      <c r="D30" s="4">
        <v>5214</v>
      </c>
      <c r="E30" s="4">
        <v>6054</v>
      </c>
      <c r="F30" s="4">
        <v>6748</v>
      </c>
      <c r="G30" s="4">
        <v>7995</v>
      </c>
      <c r="H30" s="4">
        <v>8879</v>
      </c>
      <c r="I30" s="4">
        <v>10120</v>
      </c>
      <c r="J30" s="4">
        <v>10277</v>
      </c>
      <c r="K30" s="4">
        <v>10649</v>
      </c>
    </row>
    <row r="31" spans="1:11" x14ac:dyDescent="0.3">
      <c r="A31" s="3" t="s">
        <v>27</v>
      </c>
      <c r="B31" s="4">
        <v>3456</v>
      </c>
      <c r="C31" s="4">
        <v>3672</v>
      </c>
      <c r="D31" s="4">
        <v>4320</v>
      </c>
      <c r="E31" s="4">
        <v>4752</v>
      </c>
      <c r="F31" s="4">
        <v>5400</v>
      </c>
      <c r="G31" s="4">
        <v>9517.5</v>
      </c>
      <c r="H31" s="4">
        <v>7990</v>
      </c>
      <c r="I31" s="4">
        <v>9165</v>
      </c>
      <c r="J31" s="4">
        <v>9870</v>
      </c>
      <c r="K31" s="4">
        <v>12455</v>
      </c>
    </row>
    <row r="32" spans="1:11" x14ac:dyDescent="0.3">
      <c r="A32" s="3" t="s">
        <v>28</v>
      </c>
      <c r="B32" s="8" t="s">
        <v>2</v>
      </c>
      <c r="C32" s="8" t="s">
        <v>2</v>
      </c>
      <c r="D32" s="8" t="s">
        <v>2</v>
      </c>
      <c r="E32" s="8" t="s">
        <v>2</v>
      </c>
      <c r="F32" s="8" t="s">
        <v>2</v>
      </c>
      <c r="G32" s="8" t="s">
        <v>2</v>
      </c>
      <c r="H32" s="8" t="s">
        <v>2</v>
      </c>
      <c r="I32" s="8" t="s">
        <v>2</v>
      </c>
      <c r="J32" s="8" t="s">
        <v>2</v>
      </c>
      <c r="K32" s="8" t="s">
        <v>2</v>
      </c>
    </row>
    <row r="34" spans="1:11" x14ac:dyDescent="0.3">
      <c r="A34" s="3" t="s">
        <v>29</v>
      </c>
      <c r="B34" s="3" t="s">
        <v>2</v>
      </c>
      <c r="C34" s="3" t="s">
        <v>2</v>
      </c>
      <c r="D34" s="3" t="s">
        <v>2</v>
      </c>
      <c r="E34" s="3" t="s">
        <v>2</v>
      </c>
      <c r="F34" s="3" t="s">
        <v>2</v>
      </c>
      <c r="G34" s="3" t="s">
        <v>2</v>
      </c>
      <c r="H34" s="3" t="s">
        <v>2</v>
      </c>
      <c r="I34" s="3" t="s">
        <v>2</v>
      </c>
      <c r="J34" s="3" t="s">
        <v>2</v>
      </c>
      <c r="K34" s="3" t="s">
        <v>2</v>
      </c>
    </row>
    <row r="40" spans="1:11" x14ac:dyDescent="0.3">
      <c r="A40" s="2" t="s">
        <v>30</v>
      </c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">
      <c r="A41" s="5" t="s">
        <v>12</v>
      </c>
      <c r="B41" s="6">
        <v>45016</v>
      </c>
      <c r="C41" s="6">
        <v>45107</v>
      </c>
      <c r="D41" s="6">
        <v>45199</v>
      </c>
      <c r="E41" s="6">
        <v>45291</v>
      </c>
      <c r="F41" s="6">
        <v>45382</v>
      </c>
      <c r="G41" s="6">
        <v>45473</v>
      </c>
      <c r="H41" s="6">
        <v>45565</v>
      </c>
      <c r="I41" s="6">
        <v>45657</v>
      </c>
      <c r="J41" s="6">
        <v>45747</v>
      </c>
      <c r="K41" s="6">
        <v>45838</v>
      </c>
    </row>
    <row r="42" spans="1:11" x14ac:dyDescent="0.3">
      <c r="A42" s="3" t="s">
        <v>13</v>
      </c>
      <c r="B42" s="4">
        <v>15215</v>
      </c>
      <c r="C42" s="4">
        <v>15496</v>
      </c>
      <c r="D42" s="4">
        <v>15623</v>
      </c>
      <c r="E42" s="4">
        <v>15567</v>
      </c>
      <c r="F42" s="4">
        <v>15210</v>
      </c>
      <c r="G42" s="4">
        <v>15707</v>
      </c>
      <c r="H42" s="4">
        <v>15926</v>
      </c>
      <c r="I42" s="4">
        <v>15818</v>
      </c>
      <c r="J42" s="4">
        <v>15670</v>
      </c>
      <c r="K42" s="4">
        <v>16514</v>
      </c>
    </row>
    <row r="43" spans="1:11" x14ac:dyDescent="0.3">
      <c r="A43" s="3" t="s">
        <v>31</v>
      </c>
      <c r="B43" s="4">
        <v>11643</v>
      </c>
      <c r="C43" s="4">
        <v>11832</v>
      </c>
      <c r="D43" s="4">
        <v>11828</v>
      </c>
      <c r="E43" s="4">
        <v>11902</v>
      </c>
      <c r="F43" s="4">
        <v>11675</v>
      </c>
      <c r="G43" s="4">
        <v>11965</v>
      </c>
      <c r="H43" s="4">
        <v>12139</v>
      </c>
      <c r="I43" s="4">
        <v>12123</v>
      </c>
      <c r="J43" s="4">
        <v>12052</v>
      </c>
      <c r="K43" s="4">
        <v>12797</v>
      </c>
    </row>
    <row r="44" spans="1:11" x14ac:dyDescent="0.3">
      <c r="A44" s="3" t="s">
        <v>21</v>
      </c>
      <c r="B44" s="4">
        <v>240</v>
      </c>
      <c r="C44" s="4">
        <v>146</v>
      </c>
      <c r="D44" s="4">
        <v>178</v>
      </c>
      <c r="E44" s="4">
        <v>184</v>
      </c>
      <c r="F44" s="4">
        <v>309</v>
      </c>
      <c r="G44" s="4">
        <v>209</v>
      </c>
      <c r="H44" s="4">
        <v>203</v>
      </c>
      <c r="I44" s="4">
        <v>740</v>
      </c>
      <c r="J44" s="4">
        <v>171</v>
      </c>
      <c r="K44" s="4">
        <v>74</v>
      </c>
    </row>
    <row r="45" spans="1:11" x14ac:dyDescent="0.3">
      <c r="A45" s="3" t="s">
        <v>22</v>
      </c>
      <c r="B45" s="4">
        <v>291</v>
      </c>
      <c r="C45" s="4">
        <v>286</v>
      </c>
      <c r="D45" s="4">
        <v>297</v>
      </c>
      <c r="E45" s="4">
        <v>313</v>
      </c>
      <c r="F45" s="4">
        <v>320</v>
      </c>
      <c r="G45" s="4">
        <v>329</v>
      </c>
      <c r="H45" s="4">
        <v>338</v>
      </c>
      <c r="I45" s="4">
        <v>341</v>
      </c>
      <c r="J45" s="4">
        <v>347</v>
      </c>
      <c r="K45" s="4">
        <v>361</v>
      </c>
    </row>
    <row r="46" spans="1:11" x14ac:dyDescent="0.3">
      <c r="A46" s="3" t="s">
        <v>23</v>
      </c>
      <c r="B46" s="7">
        <v>29</v>
      </c>
      <c r="C46" s="7">
        <v>50</v>
      </c>
      <c r="D46" s="7">
        <v>88</v>
      </c>
      <c r="E46" s="7">
        <v>91</v>
      </c>
      <c r="F46" s="7">
        <v>105</v>
      </c>
      <c r="G46" s="7">
        <v>93</v>
      </c>
      <c r="H46" s="7">
        <v>110</v>
      </c>
      <c r="I46" s="7">
        <v>112</v>
      </c>
      <c r="J46" s="7">
        <v>80</v>
      </c>
      <c r="K46" s="7">
        <v>127</v>
      </c>
    </row>
    <row r="47" spans="1:11" x14ac:dyDescent="0.3">
      <c r="A47" s="3" t="s">
        <v>24</v>
      </c>
      <c r="B47" s="4">
        <v>3492</v>
      </c>
      <c r="C47" s="4">
        <v>3474</v>
      </c>
      <c r="D47" s="4">
        <v>3588</v>
      </c>
      <c r="E47" s="4">
        <v>3445</v>
      </c>
      <c r="F47" s="4">
        <v>3419</v>
      </c>
      <c r="G47" s="4">
        <v>3529</v>
      </c>
      <c r="H47" s="4">
        <v>3542</v>
      </c>
      <c r="I47" s="4">
        <v>3982</v>
      </c>
      <c r="J47" s="4">
        <v>3362</v>
      </c>
      <c r="K47" s="4">
        <v>3303</v>
      </c>
    </row>
    <row r="48" spans="1:11" x14ac:dyDescent="0.3">
      <c r="A48" s="3" t="s">
        <v>25</v>
      </c>
      <c r="B48" s="4">
        <v>891</v>
      </c>
      <c r="C48" s="4">
        <v>918</v>
      </c>
      <c r="D48" s="4">
        <v>931</v>
      </c>
      <c r="E48" s="4">
        <v>937</v>
      </c>
      <c r="F48" s="4">
        <v>858</v>
      </c>
      <c r="G48" s="4">
        <v>917</v>
      </c>
      <c r="H48" s="4">
        <v>947</v>
      </c>
      <c r="I48" s="4">
        <v>993</v>
      </c>
      <c r="J48" s="4">
        <v>887</v>
      </c>
      <c r="K48" s="4">
        <v>535</v>
      </c>
    </row>
    <row r="49" spans="1:11" x14ac:dyDescent="0.3">
      <c r="A49" s="3" t="s">
        <v>26</v>
      </c>
      <c r="B49" s="4">
        <v>2600</v>
      </c>
      <c r="C49" s="4">
        <v>2554</v>
      </c>
      <c r="D49" s="4">
        <v>2656</v>
      </c>
      <c r="E49" s="4">
        <v>2509</v>
      </c>
      <c r="F49" s="4">
        <v>2558</v>
      </c>
      <c r="G49" s="4">
        <v>2610</v>
      </c>
      <c r="H49" s="4">
        <v>2591</v>
      </c>
      <c r="I49" s="4">
        <v>2984</v>
      </c>
      <c r="J49" s="4">
        <v>2464</v>
      </c>
      <c r="K49" s="4">
        <v>2756</v>
      </c>
    </row>
    <row r="50" spans="1:11" x14ac:dyDescent="0.3">
      <c r="A50" s="3" t="s">
        <v>32</v>
      </c>
      <c r="B50" s="4">
        <v>3572</v>
      </c>
      <c r="C50" s="4">
        <v>3664</v>
      </c>
      <c r="D50" s="4">
        <v>3795</v>
      </c>
      <c r="E50" s="4">
        <v>3665</v>
      </c>
      <c r="F50" s="4">
        <v>3535</v>
      </c>
      <c r="G50" s="4">
        <v>3742</v>
      </c>
      <c r="H50" s="4">
        <v>3787</v>
      </c>
      <c r="I50" s="4">
        <v>3695</v>
      </c>
      <c r="J50" s="4">
        <v>3618</v>
      </c>
      <c r="K50" s="4">
        <v>3717</v>
      </c>
    </row>
    <row r="51" spans="1:11" x14ac:dyDescent="0.3">
      <c r="A51" s="3" t="s">
        <v>29</v>
      </c>
      <c r="B51" s="3" t="s">
        <v>2</v>
      </c>
      <c r="C51" s="3" t="s">
        <v>2</v>
      </c>
      <c r="D51" s="3" t="s">
        <v>2</v>
      </c>
      <c r="E51" s="3" t="s">
        <v>2</v>
      </c>
      <c r="F51" s="3" t="s">
        <v>2</v>
      </c>
      <c r="G51" s="3" t="s">
        <v>2</v>
      </c>
      <c r="H51" s="3" t="s">
        <v>2</v>
      </c>
      <c r="I51" s="3" t="s">
        <v>2</v>
      </c>
      <c r="J51" s="3" t="s">
        <v>2</v>
      </c>
      <c r="K51" s="3" t="s">
        <v>2</v>
      </c>
    </row>
    <row r="55" spans="1:11" x14ac:dyDescent="0.3">
      <c r="A55" s="2" t="s">
        <v>33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3">
      <c r="A56" s="5" t="s">
        <v>12</v>
      </c>
      <c r="B56" s="6">
        <v>42460</v>
      </c>
      <c r="C56" s="6">
        <v>42825</v>
      </c>
      <c r="D56" s="6">
        <v>43190</v>
      </c>
      <c r="E56" s="6">
        <v>43555</v>
      </c>
      <c r="F56" s="6">
        <v>43921</v>
      </c>
      <c r="G56" s="6">
        <v>44286</v>
      </c>
      <c r="H56" s="6">
        <v>44651</v>
      </c>
      <c r="I56" s="6">
        <v>45016</v>
      </c>
      <c r="J56" s="6">
        <v>45382</v>
      </c>
      <c r="K56" s="6">
        <v>45747</v>
      </c>
    </row>
    <row r="57" spans="1:11" x14ac:dyDescent="0.3">
      <c r="A57" s="3" t="s">
        <v>34</v>
      </c>
      <c r="B57" s="4">
        <v>216</v>
      </c>
      <c r="C57" s="4">
        <v>216</v>
      </c>
      <c r="D57" s="4">
        <v>216</v>
      </c>
      <c r="E57" s="4">
        <v>216</v>
      </c>
      <c r="F57" s="4">
        <v>216</v>
      </c>
      <c r="G57" s="4">
        <v>235</v>
      </c>
      <c r="H57" s="4">
        <v>235</v>
      </c>
      <c r="I57" s="4">
        <v>235</v>
      </c>
      <c r="J57" s="4">
        <v>235</v>
      </c>
      <c r="K57" s="4">
        <v>235</v>
      </c>
    </row>
    <row r="58" spans="1:11" x14ac:dyDescent="0.3">
      <c r="A58" s="3" t="s">
        <v>35</v>
      </c>
      <c r="B58" s="4">
        <v>6357</v>
      </c>
      <c r="C58" s="4">
        <v>6528</v>
      </c>
      <c r="D58" s="4">
        <v>7065</v>
      </c>
      <c r="E58" s="4">
        <v>7651</v>
      </c>
      <c r="F58" s="4">
        <v>8013</v>
      </c>
      <c r="G58" s="4">
        <v>47439</v>
      </c>
      <c r="H58" s="4">
        <v>48826</v>
      </c>
      <c r="I58" s="4">
        <v>50069</v>
      </c>
      <c r="J58" s="4">
        <v>50983</v>
      </c>
      <c r="K58" s="4">
        <v>49167</v>
      </c>
    </row>
    <row r="59" spans="1:11" x14ac:dyDescent="0.3">
      <c r="A59" s="3" t="s">
        <v>36</v>
      </c>
      <c r="B59" s="7">
        <v>177</v>
      </c>
      <c r="C59" s="7">
        <v>277</v>
      </c>
      <c r="D59" s="7"/>
      <c r="E59" s="7">
        <v>99</v>
      </c>
      <c r="F59" s="7"/>
      <c r="G59" s="7"/>
      <c r="H59" s="7">
        <v>1043</v>
      </c>
      <c r="I59" s="7">
        <v>1219</v>
      </c>
      <c r="J59" s="7">
        <v>1484</v>
      </c>
      <c r="K59" s="7">
        <v>1648</v>
      </c>
    </row>
    <row r="60" spans="1:11" x14ac:dyDescent="0.3">
      <c r="A60" s="3" t="s">
        <v>37</v>
      </c>
      <c r="B60" s="4">
        <v>8043</v>
      </c>
      <c r="C60" s="4">
        <v>8685</v>
      </c>
      <c r="D60" s="4">
        <v>10581</v>
      </c>
      <c r="E60" s="4">
        <v>10663</v>
      </c>
      <c r="F60" s="4">
        <v>11924</v>
      </c>
      <c r="G60" s="4">
        <v>21066</v>
      </c>
      <c r="H60" s="4">
        <v>20402</v>
      </c>
      <c r="I60" s="4">
        <v>21554</v>
      </c>
      <c r="J60" s="4">
        <v>25787</v>
      </c>
      <c r="K60" s="4">
        <v>28813</v>
      </c>
    </row>
    <row r="61" spans="1:11" x14ac:dyDescent="0.3">
      <c r="A61" s="2" t="s">
        <v>38</v>
      </c>
      <c r="B61" s="4">
        <v>14793</v>
      </c>
      <c r="C61" s="4">
        <v>15706</v>
      </c>
      <c r="D61" s="4">
        <v>17862</v>
      </c>
      <c r="E61" s="4">
        <v>18629</v>
      </c>
      <c r="F61" s="4">
        <v>20153</v>
      </c>
      <c r="G61" s="4">
        <v>68740</v>
      </c>
      <c r="H61" s="4">
        <v>70506</v>
      </c>
      <c r="I61" s="4">
        <v>73077</v>
      </c>
      <c r="J61" s="4">
        <v>78489</v>
      </c>
      <c r="K61" s="4">
        <v>79863</v>
      </c>
    </row>
    <row r="62" spans="1:11" x14ac:dyDescent="0.3">
      <c r="A62" s="3" t="s">
        <v>39</v>
      </c>
      <c r="B62" s="4">
        <v>3258</v>
      </c>
      <c r="C62" s="4">
        <v>4419</v>
      </c>
      <c r="D62" s="4">
        <v>4528</v>
      </c>
      <c r="E62" s="4">
        <v>4715</v>
      </c>
      <c r="F62" s="4">
        <v>5479</v>
      </c>
      <c r="G62" s="4">
        <v>51443</v>
      </c>
      <c r="H62" s="4">
        <v>51473</v>
      </c>
      <c r="I62" s="4">
        <v>52678</v>
      </c>
      <c r="J62" s="4">
        <v>53744</v>
      </c>
      <c r="K62" s="4">
        <v>54335</v>
      </c>
    </row>
    <row r="63" spans="1:11" x14ac:dyDescent="0.3">
      <c r="A63" s="3" t="s">
        <v>40</v>
      </c>
      <c r="B63" s="4">
        <v>408</v>
      </c>
      <c r="C63" s="4">
        <v>229</v>
      </c>
      <c r="D63" s="4">
        <v>461</v>
      </c>
      <c r="E63" s="4">
        <v>406</v>
      </c>
      <c r="F63" s="4">
        <v>597</v>
      </c>
      <c r="G63" s="4">
        <v>745</v>
      </c>
      <c r="H63" s="4">
        <v>1313</v>
      </c>
      <c r="I63" s="4">
        <v>1132</v>
      </c>
      <c r="J63" s="4">
        <v>1025</v>
      </c>
      <c r="K63" s="4">
        <v>1009</v>
      </c>
    </row>
    <row r="64" spans="1:11" x14ac:dyDescent="0.3">
      <c r="A64" s="3" t="s">
        <v>41</v>
      </c>
      <c r="B64" s="4">
        <v>2592</v>
      </c>
      <c r="C64" s="7">
        <v>3794</v>
      </c>
      <c r="D64" s="4">
        <v>2873</v>
      </c>
      <c r="E64" s="4">
        <v>2716</v>
      </c>
      <c r="F64" s="4">
        <v>1255</v>
      </c>
      <c r="G64" s="4">
        <v>2709</v>
      </c>
      <c r="H64" s="4">
        <v>3521</v>
      </c>
      <c r="I64" s="4">
        <v>2882</v>
      </c>
      <c r="J64" s="4">
        <v>4625</v>
      </c>
      <c r="K64" s="4">
        <v>3810</v>
      </c>
    </row>
    <row r="65" spans="1:11" x14ac:dyDescent="0.3">
      <c r="A65" s="3" t="s">
        <v>42</v>
      </c>
      <c r="B65" s="4">
        <v>8535</v>
      </c>
      <c r="C65" s="4">
        <v>7264</v>
      </c>
      <c r="D65" s="4">
        <v>10000</v>
      </c>
      <c r="E65" s="4">
        <v>10792</v>
      </c>
      <c r="F65" s="4">
        <v>12822</v>
      </c>
      <c r="G65" s="4">
        <v>13843</v>
      </c>
      <c r="H65" s="4">
        <v>14199</v>
      </c>
      <c r="I65" s="4">
        <v>16385</v>
      </c>
      <c r="J65" s="4">
        <v>19095</v>
      </c>
      <c r="K65" s="4">
        <v>20709</v>
      </c>
    </row>
    <row r="66" spans="1:11" x14ac:dyDescent="0.3">
      <c r="A66" s="2" t="s">
        <v>38</v>
      </c>
      <c r="B66" s="4">
        <v>14793</v>
      </c>
      <c r="C66" s="4">
        <v>15706</v>
      </c>
      <c r="D66" s="4">
        <v>17862</v>
      </c>
      <c r="E66" s="4">
        <v>18629</v>
      </c>
      <c r="F66" s="4">
        <v>20153</v>
      </c>
      <c r="G66" s="4">
        <v>68740</v>
      </c>
      <c r="H66" s="4">
        <v>70506</v>
      </c>
      <c r="I66" s="4">
        <v>73077</v>
      </c>
      <c r="J66" s="4">
        <v>78489</v>
      </c>
      <c r="K66" s="4">
        <v>79863</v>
      </c>
    </row>
    <row r="67" spans="1:11" x14ac:dyDescent="0.3">
      <c r="A67" s="3" t="s">
        <v>43</v>
      </c>
      <c r="B67" s="4">
        <v>1264</v>
      </c>
      <c r="C67" s="4">
        <v>1085</v>
      </c>
      <c r="D67" s="4">
        <v>1310</v>
      </c>
      <c r="E67" s="4">
        <v>1816</v>
      </c>
      <c r="F67" s="4">
        <v>1149</v>
      </c>
      <c r="G67" s="4">
        <v>1758</v>
      </c>
      <c r="H67" s="4">
        <v>2236</v>
      </c>
      <c r="I67" s="4">
        <v>3079</v>
      </c>
      <c r="J67" s="4">
        <v>2997</v>
      </c>
      <c r="K67" s="4">
        <v>3819</v>
      </c>
    </row>
    <row r="68" spans="1:11" x14ac:dyDescent="0.3">
      <c r="A68" s="3" t="s">
        <v>44</v>
      </c>
      <c r="B68" s="7">
        <v>2726</v>
      </c>
      <c r="C68" s="7">
        <v>2541</v>
      </c>
      <c r="D68" s="7">
        <v>2513</v>
      </c>
      <c r="E68" s="7">
        <v>2574</v>
      </c>
      <c r="F68" s="7">
        <v>2767</v>
      </c>
      <c r="G68" s="7">
        <v>3579</v>
      </c>
      <c r="H68" s="7">
        <v>4096</v>
      </c>
      <c r="I68" s="7">
        <v>4251</v>
      </c>
      <c r="J68" s="7">
        <v>4022</v>
      </c>
      <c r="K68" s="7">
        <v>4415</v>
      </c>
    </row>
    <row r="69" spans="1:11" x14ac:dyDescent="0.3">
      <c r="A69" s="3" t="s">
        <v>45</v>
      </c>
      <c r="B69" s="4">
        <v>3009</v>
      </c>
      <c r="C69" s="4">
        <v>1828</v>
      </c>
      <c r="D69" s="4">
        <v>3485</v>
      </c>
      <c r="E69" s="4">
        <v>3757</v>
      </c>
      <c r="F69" s="4">
        <v>5113</v>
      </c>
      <c r="G69" s="4">
        <v>4471</v>
      </c>
      <c r="H69" s="4">
        <v>3846</v>
      </c>
      <c r="I69" s="4">
        <v>4678</v>
      </c>
      <c r="J69" s="4">
        <v>7559</v>
      </c>
      <c r="K69" s="4">
        <v>7554</v>
      </c>
    </row>
    <row r="70" spans="1:11" x14ac:dyDescent="0.3">
      <c r="A70" s="3" t="s">
        <v>46</v>
      </c>
      <c r="B70" s="4">
        <v>2163936971</v>
      </c>
      <c r="C70" s="4">
        <v>2164349639</v>
      </c>
      <c r="D70" s="4">
        <v>2164528777</v>
      </c>
      <c r="E70" s="4">
        <v>2164704405</v>
      </c>
      <c r="F70" s="4">
        <v>2164704405</v>
      </c>
      <c r="G70" s="4">
        <v>2349567819</v>
      </c>
      <c r="H70" s="4">
        <v>2349591262</v>
      </c>
      <c r="I70" s="4">
        <v>2349591262</v>
      </c>
      <c r="J70" s="4">
        <v>2349591262</v>
      </c>
      <c r="K70" s="4">
        <v>2349591262</v>
      </c>
    </row>
    <row r="71" spans="1:11" x14ac:dyDescent="0.3">
      <c r="A71" s="3" t="s">
        <v>47</v>
      </c>
      <c r="B71" s="9"/>
      <c r="C71" s="9"/>
      <c r="D71" s="1"/>
      <c r="E71" s="1"/>
      <c r="F71" s="1"/>
      <c r="G71" s="9"/>
      <c r="H71" s="9"/>
      <c r="I71" s="1"/>
      <c r="J71" s="1"/>
      <c r="K71" s="1"/>
    </row>
    <row r="72" spans="1:11" x14ac:dyDescent="0.3">
      <c r="A72" s="3" t="s">
        <v>48</v>
      </c>
      <c r="B72" s="4">
        <v>1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</row>
    <row r="73" spans="1:11" x14ac:dyDescent="0.3">
      <c r="A73" s="1"/>
      <c r="B73" s="1"/>
      <c r="C73" s="1"/>
      <c r="D73" s="1"/>
      <c r="E73" s="1"/>
      <c r="F73" s="1"/>
      <c r="G73" s="1"/>
      <c r="H73" s="3" t="s">
        <v>2</v>
      </c>
      <c r="I73" s="3" t="s">
        <v>2</v>
      </c>
      <c r="J73" s="3" t="s">
        <v>2</v>
      </c>
      <c r="K73" s="3" t="s">
        <v>2</v>
      </c>
    </row>
    <row r="80" spans="1:11" x14ac:dyDescent="0.3">
      <c r="A80" s="2" t="s">
        <v>49</v>
      </c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3">
      <c r="A81" s="5" t="s">
        <v>12</v>
      </c>
      <c r="B81" s="6">
        <v>42460</v>
      </c>
      <c r="C81" s="6">
        <v>42825</v>
      </c>
      <c r="D81" s="6">
        <v>43190</v>
      </c>
      <c r="E81" s="6">
        <v>43555</v>
      </c>
      <c r="F81" s="6">
        <v>43921</v>
      </c>
      <c r="G81" s="6">
        <v>44286</v>
      </c>
      <c r="H81" s="6">
        <v>44651</v>
      </c>
      <c r="I81" s="6">
        <v>45016</v>
      </c>
      <c r="J81" s="6">
        <v>45382</v>
      </c>
      <c r="K81" s="6">
        <v>45747</v>
      </c>
    </row>
    <row r="82" spans="1:11" x14ac:dyDescent="0.3">
      <c r="A82" s="3" t="s">
        <v>50</v>
      </c>
      <c r="B82" s="4">
        <v>4171</v>
      </c>
      <c r="C82" s="4">
        <v>5185</v>
      </c>
      <c r="D82" s="4">
        <v>6059</v>
      </c>
      <c r="E82" s="4">
        <v>5800</v>
      </c>
      <c r="F82" s="4">
        <v>7623</v>
      </c>
      <c r="G82" s="4">
        <v>9163</v>
      </c>
      <c r="H82" s="4">
        <v>9048</v>
      </c>
      <c r="I82" s="4">
        <v>9991</v>
      </c>
      <c r="J82" s="4">
        <v>15469</v>
      </c>
      <c r="K82" s="4">
        <v>11886</v>
      </c>
    </row>
    <row r="83" spans="1:11" x14ac:dyDescent="0.3">
      <c r="A83" s="3" t="s">
        <v>51</v>
      </c>
      <c r="B83" s="4">
        <v>-282</v>
      </c>
      <c r="C83" s="4">
        <v>-1173</v>
      </c>
      <c r="D83" s="4">
        <v>-1063</v>
      </c>
      <c r="E83" s="4">
        <v>-438</v>
      </c>
      <c r="F83" s="4">
        <v>1791</v>
      </c>
      <c r="G83" s="4">
        <v>-1228</v>
      </c>
      <c r="H83" s="4">
        <v>-1728</v>
      </c>
      <c r="I83" s="4">
        <v>-1484</v>
      </c>
      <c r="J83" s="4">
        <v>-5324</v>
      </c>
      <c r="K83" s="4">
        <v>6473</v>
      </c>
    </row>
    <row r="84" spans="1:11" x14ac:dyDescent="0.3">
      <c r="A84" s="3" t="s">
        <v>52</v>
      </c>
      <c r="B84" s="4">
        <v>-3864</v>
      </c>
      <c r="C84" s="4">
        <v>-4214</v>
      </c>
      <c r="D84" s="4">
        <v>-4975</v>
      </c>
      <c r="E84" s="4">
        <v>-5390</v>
      </c>
      <c r="F84" s="4">
        <v>-6819</v>
      </c>
      <c r="G84" s="4">
        <v>-9309</v>
      </c>
      <c r="H84" s="4">
        <v>-8015</v>
      </c>
      <c r="I84" s="4">
        <v>-8953</v>
      </c>
      <c r="J84" s="4">
        <v>-10034</v>
      </c>
      <c r="K84" s="4">
        <v>-13101</v>
      </c>
    </row>
    <row r="85" spans="1:11" x14ac:dyDescent="0.3">
      <c r="A85" s="3" t="s">
        <v>53</v>
      </c>
      <c r="B85" s="4">
        <v>25</v>
      </c>
      <c r="C85" s="4">
        <v>-202</v>
      </c>
      <c r="D85" s="4">
        <v>21</v>
      </c>
      <c r="E85" s="4">
        <v>-28</v>
      </c>
      <c r="F85" s="4">
        <v>2595</v>
      </c>
      <c r="G85" s="4">
        <v>-1374</v>
      </c>
      <c r="H85" s="4">
        <v>-695</v>
      </c>
      <c r="I85" s="4">
        <v>-446</v>
      </c>
      <c r="J85" s="4">
        <v>111</v>
      </c>
      <c r="K85" s="4">
        <v>5258</v>
      </c>
    </row>
    <row r="90" spans="1:11" x14ac:dyDescent="0.3">
      <c r="A90" s="2" t="s">
        <v>54</v>
      </c>
      <c r="B90" s="4">
        <v>869.5</v>
      </c>
      <c r="C90" s="4">
        <v>911.75</v>
      </c>
      <c r="D90" s="4">
        <v>1333.35</v>
      </c>
      <c r="E90" s="4">
        <v>1706.8</v>
      </c>
      <c r="F90" s="4">
        <v>2298.5</v>
      </c>
      <c r="G90" s="4">
        <v>2431.5</v>
      </c>
      <c r="H90" s="4">
        <v>2048.65</v>
      </c>
      <c r="I90" s="4">
        <v>2560.35</v>
      </c>
      <c r="J90" s="4">
        <v>2264.35</v>
      </c>
      <c r="K90" s="4">
        <v>2258.85</v>
      </c>
    </row>
    <row r="92" spans="1:11" x14ac:dyDescent="0.3">
      <c r="A92" s="2" t="s">
        <v>55</v>
      </c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3">
      <c r="A93" s="3" t="s">
        <v>56</v>
      </c>
      <c r="B93" s="10">
        <v>216.39</v>
      </c>
      <c r="C93" s="10">
        <v>216.43</v>
      </c>
      <c r="D93" s="10">
        <v>216.45</v>
      </c>
      <c r="E93" s="10">
        <v>216.47</v>
      </c>
      <c r="F93" s="10">
        <v>216.48</v>
      </c>
      <c r="G93" s="10">
        <v>234.96</v>
      </c>
      <c r="H93" s="10">
        <v>234.96</v>
      </c>
      <c r="I93" s="10">
        <v>234.96</v>
      </c>
      <c r="J93" s="10">
        <v>234.96</v>
      </c>
      <c r="K93" s="10">
        <v>234.96</v>
      </c>
    </row>
  </sheetData>
  <mergeCells count="2">
    <mergeCell ref="E1:K1"/>
    <mergeCell ref="E2:K2"/>
  </mergeCells>
  <hyperlinks>
    <hyperlink ref="E1:K1" r:id="rId1" display="https://www.screener.in/excel/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O117"/>
  <sheetViews>
    <sheetView topLeftCell="A7" zoomScale="115" zoomScaleNormal="115" workbookViewId="0">
      <selection activeCell="L53" sqref="L53"/>
    </sheetView>
  </sheetViews>
  <sheetFormatPr defaultRowHeight="14.4" x14ac:dyDescent="0.3"/>
  <cols>
    <col min="2" max="2" width="44.44140625" bestFit="1" customWidth="1"/>
    <col min="14" max="14" width="13.109375" bestFit="1" customWidth="1"/>
    <col min="15" max="15" width="8.88671875" customWidth="1"/>
  </cols>
  <sheetData>
    <row r="4" spans="2:15" x14ac:dyDescent="0.3">
      <c r="C4" s="13">
        <v>42430</v>
      </c>
      <c r="D4" s="13">
        <v>42795</v>
      </c>
      <c r="E4" s="13">
        <v>43160</v>
      </c>
      <c r="F4" s="13">
        <v>43525</v>
      </c>
      <c r="G4" s="13">
        <v>43891</v>
      </c>
      <c r="H4" s="13">
        <v>44256</v>
      </c>
      <c r="I4" s="13">
        <v>44621</v>
      </c>
      <c r="J4" s="13">
        <v>44986</v>
      </c>
      <c r="K4" s="13">
        <v>45352</v>
      </c>
      <c r="L4" s="13">
        <v>45717</v>
      </c>
      <c r="M4" s="13"/>
    </row>
    <row r="5" spans="2:15" x14ac:dyDescent="0.3">
      <c r="B5" t="s">
        <v>57</v>
      </c>
      <c r="C5" s="14">
        <v>32186</v>
      </c>
      <c r="D5" s="14">
        <v>33162</v>
      </c>
      <c r="E5" s="14">
        <v>35545</v>
      </c>
      <c r="F5" s="14">
        <v>39310</v>
      </c>
      <c r="G5" s="14">
        <v>39783</v>
      </c>
      <c r="H5" s="14">
        <v>47028</v>
      </c>
      <c r="I5" s="14">
        <v>52446</v>
      </c>
      <c r="J5" s="14">
        <v>60580</v>
      </c>
      <c r="K5" s="14">
        <v>61896</v>
      </c>
      <c r="L5" s="14">
        <v>63121</v>
      </c>
      <c r="M5" s="14"/>
    </row>
    <row r="6" spans="2:15" x14ac:dyDescent="0.3">
      <c r="B6" t="s">
        <v>58</v>
      </c>
      <c r="C6" s="15">
        <v>6.7000000000000002E-3</v>
      </c>
      <c r="D6" s="15">
        <v>3.0300000000000001E-2</v>
      </c>
      <c r="E6" s="15">
        <v>7.1900000000000006E-2</v>
      </c>
      <c r="F6" s="15">
        <v>0.10589999999999999</v>
      </c>
      <c r="G6" s="15">
        <v>1.2E-2</v>
      </c>
      <c r="H6" s="15">
        <v>0.18210000000000001</v>
      </c>
      <c r="I6" s="15">
        <v>0.1152</v>
      </c>
      <c r="J6" s="15">
        <v>0.15509999999999999</v>
      </c>
      <c r="K6" s="15">
        <v>2.1700000000000001E-2</v>
      </c>
      <c r="L6" s="15">
        <v>1.9800000000000002E-2</v>
      </c>
      <c r="M6" s="15"/>
    </row>
    <row r="7" spans="2:15" x14ac:dyDescent="0.3">
      <c r="B7" t="s">
        <v>59</v>
      </c>
      <c r="C7" s="14">
        <v>26276</v>
      </c>
      <c r="D7" s="14">
        <v>26834</v>
      </c>
      <c r="E7" s="14">
        <v>28046</v>
      </c>
      <c r="F7" s="14">
        <v>30430</v>
      </c>
      <c r="G7" s="14">
        <v>29922</v>
      </c>
      <c r="H7" s="14">
        <v>35402</v>
      </c>
      <c r="I7" s="14">
        <v>39589</v>
      </c>
      <c r="J7" s="14">
        <v>46433</v>
      </c>
      <c r="K7" s="14">
        <v>47237</v>
      </c>
      <c r="L7" s="14">
        <v>48278</v>
      </c>
      <c r="M7" s="14"/>
    </row>
    <row r="8" spans="2:15" x14ac:dyDescent="0.3">
      <c r="B8" t="s">
        <v>60</v>
      </c>
      <c r="C8" s="15">
        <v>0.41220000000000001</v>
      </c>
      <c r="D8" s="15">
        <v>0.41460000000000002</v>
      </c>
      <c r="E8" s="15">
        <v>0.39839999999999998</v>
      </c>
      <c r="F8" s="15">
        <v>0.40339999999999998</v>
      </c>
      <c r="G8" s="15">
        <v>0.39190000000000003</v>
      </c>
      <c r="H8" s="15">
        <v>0.41970000000000002</v>
      </c>
      <c r="I8" s="15">
        <v>0.43569999999999998</v>
      </c>
      <c r="J8" s="15">
        <v>0.46800000000000003</v>
      </c>
      <c r="K8" s="15">
        <v>0.43319999999999997</v>
      </c>
      <c r="L8" s="15">
        <v>0.43080000000000002</v>
      </c>
      <c r="M8" s="15"/>
    </row>
    <row r="9" spans="2:15" x14ac:dyDescent="0.3">
      <c r="B9" t="s">
        <v>61</v>
      </c>
      <c r="C9" s="15">
        <v>0.1018</v>
      </c>
      <c r="D9" s="15">
        <v>9.6000000000000002E-2</v>
      </c>
      <c r="E9" s="15">
        <v>9.2600000000000002E-2</v>
      </c>
      <c r="F9" s="15">
        <v>8.5199999999999998E-2</v>
      </c>
      <c r="G9" s="15">
        <v>8.0600000000000005E-2</v>
      </c>
      <c r="H9" s="15">
        <v>6.8199999999999997E-2</v>
      </c>
      <c r="I9" s="15">
        <v>7.0000000000000007E-2</v>
      </c>
      <c r="J9" s="15">
        <v>6.8900000000000003E-2</v>
      </c>
      <c r="K9" s="15">
        <v>6.1899999999999997E-2</v>
      </c>
      <c r="L9" s="15">
        <v>6.7500000000000004E-2</v>
      </c>
      <c r="M9" s="15"/>
    </row>
    <row r="10" spans="2:15" x14ac:dyDescent="0.3">
      <c r="B10" t="s">
        <v>62</v>
      </c>
      <c r="C10" s="15">
        <v>5.2200000000000003E-2</v>
      </c>
      <c r="D10" s="15">
        <v>5.2600000000000001E-2</v>
      </c>
      <c r="E10" s="15">
        <v>5.2299999999999999E-2</v>
      </c>
      <c r="F10" s="15">
        <v>4.7699999999999999E-2</v>
      </c>
      <c r="G10" s="15">
        <v>4.5699999999999998E-2</v>
      </c>
      <c r="H10" s="15">
        <v>5.0099999999999999E-2</v>
      </c>
      <c r="I10" s="15">
        <v>4.8500000000000001E-2</v>
      </c>
      <c r="J10" s="15">
        <v>4.7100000000000003E-2</v>
      </c>
      <c r="K10" s="15">
        <v>4.8599999999999997E-2</v>
      </c>
      <c r="L10" s="15">
        <v>4.87E-2</v>
      </c>
      <c r="M10" s="15"/>
    </row>
    <row r="11" spans="2:15" x14ac:dyDescent="0.3">
      <c r="B11" t="s">
        <v>63</v>
      </c>
      <c r="C11" s="15">
        <v>0.25019999999999998</v>
      </c>
      <c r="D11" s="15">
        <v>0.246</v>
      </c>
      <c r="E11" s="15">
        <v>0.2457</v>
      </c>
      <c r="F11" s="15">
        <v>0.23780000000000001</v>
      </c>
      <c r="G11" s="15">
        <v>0.23400000000000001</v>
      </c>
      <c r="H11" s="15">
        <v>0.21479999999999999</v>
      </c>
      <c r="I11" s="15">
        <v>0.2006</v>
      </c>
      <c r="J11" s="15">
        <v>0.18240000000000001</v>
      </c>
      <c r="K11" s="15">
        <v>0.2195</v>
      </c>
      <c r="L11" s="15">
        <v>0.21779999999999999</v>
      </c>
      <c r="M11" s="15"/>
    </row>
    <row r="12" spans="2:15" x14ac:dyDescent="0.3">
      <c r="B12" t="s">
        <v>32</v>
      </c>
      <c r="C12" s="14">
        <v>5910</v>
      </c>
      <c r="D12" s="14">
        <v>6328</v>
      </c>
      <c r="E12" s="14">
        <v>7499</v>
      </c>
      <c r="F12" s="14">
        <v>8880</v>
      </c>
      <c r="G12" s="14">
        <v>9861</v>
      </c>
      <c r="H12" s="14">
        <v>11626</v>
      </c>
      <c r="I12" s="14">
        <v>12857</v>
      </c>
      <c r="J12" s="14">
        <v>14147</v>
      </c>
      <c r="K12" s="14">
        <v>14659</v>
      </c>
      <c r="L12" s="14">
        <v>14843</v>
      </c>
      <c r="M12" s="14"/>
    </row>
    <row r="13" spans="2:15" x14ac:dyDescent="0.3">
      <c r="B13" t="s">
        <v>64</v>
      </c>
      <c r="C13" s="16">
        <v>0.18</v>
      </c>
      <c r="D13" s="16">
        <v>0.19</v>
      </c>
      <c r="E13" s="16">
        <v>0.21</v>
      </c>
      <c r="F13" s="16">
        <v>0.23</v>
      </c>
      <c r="G13" s="16">
        <v>0.25</v>
      </c>
      <c r="H13" s="16">
        <v>0.25</v>
      </c>
      <c r="I13" s="16">
        <v>0.25</v>
      </c>
      <c r="J13" s="16">
        <v>0.23</v>
      </c>
      <c r="K13" s="16">
        <v>0.24</v>
      </c>
      <c r="L13" s="16">
        <v>0.24</v>
      </c>
      <c r="M13" s="16"/>
    </row>
    <row r="14" spans="2:15" ht="20.399999999999999" customHeight="1" x14ac:dyDescent="0.3">
      <c r="B14" t="s">
        <v>149</v>
      </c>
      <c r="C14" s="48">
        <f t="shared" ref="C14:L14" si="0">C12-C20</f>
        <v>5557</v>
      </c>
      <c r="D14" s="48">
        <f t="shared" si="0"/>
        <v>5896</v>
      </c>
      <c r="E14" s="48">
        <f t="shared" si="0"/>
        <v>6979</v>
      </c>
      <c r="F14" s="48">
        <f t="shared" si="0"/>
        <v>8315</v>
      </c>
      <c r="G14" s="48">
        <f t="shared" si="0"/>
        <v>8859</v>
      </c>
      <c r="H14" s="48">
        <f t="shared" si="0"/>
        <v>10552</v>
      </c>
      <c r="I14" s="48">
        <f t="shared" si="0"/>
        <v>11766</v>
      </c>
      <c r="J14" s="48">
        <f t="shared" si="0"/>
        <v>13010</v>
      </c>
      <c r="K14" s="48">
        <f t="shared" si="0"/>
        <v>13443</v>
      </c>
      <c r="L14" s="48">
        <f t="shared" si="0"/>
        <v>13488</v>
      </c>
      <c r="M14" s="16"/>
    </row>
    <row r="15" spans="2:15" ht="20.399999999999999" customHeight="1" x14ac:dyDescent="0.3">
      <c r="B15" t="s">
        <v>148</v>
      </c>
      <c r="C15" s="27">
        <f t="shared" ref="C15:L15" si="1">C14/C5</f>
        <v>0.17265270614552911</v>
      </c>
      <c r="D15" s="27">
        <f t="shared" si="1"/>
        <v>0.17779386044267534</v>
      </c>
      <c r="E15" s="27">
        <f t="shared" si="1"/>
        <v>0.19634266422844282</v>
      </c>
      <c r="F15" s="27">
        <f t="shared" si="1"/>
        <v>0.21152378529636226</v>
      </c>
      <c r="G15" s="27">
        <f t="shared" si="1"/>
        <v>0.22268305557650253</v>
      </c>
      <c r="H15" s="27">
        <f t="shared" si="1"/>
        <v>0.22437696691332823</v>
      </c>
      <c r="I15" s="27">
        <f t="shared" si="1"/>
        <v>0.22434504061320215</v>
      </c>
      <c r="J15" s="27">
        <f t="shared" si="1"/>
        <v>0.21475734565863322</v>
      </c>
      <c r="K15" s="27">
        <f t="shared" si="1"/>
        <v>0.21718689414501746</v>
      </c>
      <c r="L15" s="27">
        <f t="shared" si="1"/>
        <v>0.21368482755342913</v>
      </c>
      <c r="M15" s="16"/>
      <c r="N15" s="15">
        <f>MEDIAN(C15:L15)</f>
        <v>0.21422108660603117</v>
      </c>
      <c r="O15" s="15">
        <f>AVERAGE(C15:L15)</f>
        <v>0.20753471465731224</v>
      </c>
    </row>
    <row r="16" spans="2:15" x14ac:dyDescent="0.3">
      <c r="B16" t="s">
        <v>65</v>
      </c>
      <c r="C16">
        <v>486</v>
      </c>
      <c r="D16">
        <v>606</v>
      </c>
      <c r="E16">
        <v>353</v>
      </c>
      <c r="F16">
        <v>322</v>
      </c>
      <c r="G16">
        <v>424</v>
      </c>
      <c r="H16">
        <v>170</v>
      </c>
      <c r="I16">
        <v>219</v>
      </c>
      <c r="J16">
        <v>448</v>
      </c>
      <c r="K16">
        <v>817</v>
      </c>
      <c r="L16" s="14">
        <v>1322</v>
      </c>
      <c r="M16" s="14"/>
    </row>
    <row r="17" spans="2:15" x14ac:dyDescent="0.3">
      <c r="B17" t="s">
        <v>66</v>
      </c>
      <c r="C17">
        <v>-38</v>
      </c>
      <c r="D17">
        <v>246</v>
      </c>
      <c r="E17">
        <v>-24</v>
      </c>
      <c r="F17">
        <v>-224</v>
      </c>
      <c r="G17">
        <v>-206</v>
      </c>
      <c r="H17">
        <v>-240</v>
      </c>
      <c r="I17">
        <v>-39</v>
      </c>
      <c r="J17">
        <v>-64</v>
      </c>
      <c r="K17">
        <v>6</v>
      </c>
      <c r="L17">
        <v>305</v>
      </c>
    </row>
    <row r="18" spans="2:15" x14ac:dyDescent="0.3">
      <c r="B18" t="s">
        <v>67</v>
      </c>
      <c r="C18">
        <v>524</v>
      </c>
      <c r="D18">
        <v>360</v>
      </c>
      <c r="E18">
        <v>377</v>
      </c>
      <c r="F18">
        <v>546</v>
      </c>
      <c r="G18">
        <v>630</v>
      </c>
      <c r="H18">
        <v>410</v>
      </c>
      <c r="I18">
        <v>258</v>
      </c>
      <c r="J18">
        <v>512</v>
      </c>
      <c r="K18">
        <v>811</v>
      </c>
      <c r="L18" s="14">
        <v>1017</v>
      </c>
      <c r="M18" s="14"/>
    </row>
    <row r="19" spans="2:15" x14ac:dyDescent="0.3">
      <c r="B19" t="s">
        <v>23</v>
      </c>
      <c r="C19">
        <v>17</v>
      </c>
      <c r="D19">
        <v>35</v>
      </c>
      <c r="E19">
        <v>26</v>
      </c>
      <c r="F19">
        <v>33</v>
      </c>
      <c r="G19">
        <v>118</v>
      </c>
      <c r="H19">
        <v>117</v>
      </c>
      <c r="I19">
        <v>106</v>
      </c>
      <c r="J19">
        <v>114</v>
      </c>
      <c r="K19">
        <v>334</v>
      </c>
      <c r="L19">
        <v>395</v>
      </c>
    </row>
    <row r="20" spans="2:15" x14ac:dyDescent="0.3">
      <c r="B20" t="s">
        <v>22</v>
      </c>
      <c r="C20">
        <v>353</v>
      </c>
      <c r="D20">
        <v>432</v>
      </c>
      <c r="E20">
        <v>520</v>
      </c>
      <c r="F20">
        <v>565</v>
      </c>
      <c r="G20" s="14">
        <v>1002</v>
      </c>
      <c r="H20" s="14">
        <v>1074</v>
      </c>
      <c r="I20" s="14">
        <v>1091</v>
      </c>
      <c r="J20" s="14">
        <v>1137</v>
      </c>
      <c r="K20" s="14">
        <v>1216</v>
      </c>
      <c r="L20" s="14">
        <v>1355</v>
      </c>
      <c r="M20" s="14"/>
      <c r="N20" s="15">
        <f>MEDIAN(C20:L20)</f>
        <v>1038</v>
      </c>
      <c r="O20" s="15">
        <f>AVERAGE(C20:L20)</f>
        <v>874.5</v>
      </c>
    </row>
    <row r="21" spans="2:15" x14ac:dyDescent="0.3">
      <c r="B21" t="s">
        <v>206</v>
      </c>
      <c r="C21" s="27">
        <f>C20/C5</f>
        <v>1.0967501398123409E-2</v>
      </c>
      <c r="D21" s="27">
        <f t="shared" ref="D21:L21" si="2">D20/D5</f>
        <v>1.3026958567034558E-2</v>
      </c>
      <c r="E21" s="27">
        <f t="shared" si="2"/>
        <v>1.4629343086228723E-2</v>
      </c>
      <c r="F21" s="27">
        <f t="shared" si="2"/>
        <v>1.437293309590435E-2</v>
      </c>
      <c r="G21" s="27">
        <f t="shared" si="2"/>
        <v>2.5186637508483524E-2</v>
      </c>
      <c r="H21" s="27">
        <f t="shared" si="2"/>
        <v>2.2837458535340648E-2</v>
      </c>
      <c r="I21" s="27">
        <f t="shared" si="2"/>
        <v>2.0802349082866187E-2</v>
      </c>
      <c r="J21" s="27">
        <f t="shared" si="2"/>
        <v>1.8768570485308684E-2</v>
      </c>
      <c r="K21" s="27">
        <f t="shared" si="2"/>
        <v>1.9645857567532635E-2</v>
      </c>
      <c r="L21" s="27">
        <f t="shared" si="2"/>
        <v>2.1466706801223048E-2</v>
      </c>
      <c r="M21" s="14"/>
      <c r="N21" s="15">
        <f>MEDIAN(C21:L21)</f>
        <v>1.9207214026420658E-2</v>
      </c>
      <c r="O21" s="15">
        <f>AVERAGE(C21:L21)</f>
        <v>1.8170431612804579E-2</v>
      </c>
    </row>
    <row r="22" spans="2:15" x14ac:dyDescent="0.3">
      <c r="B22" t="s">
        <v>24</v>
      </c>
      <c r="C22" s="14">
        <v>6026</v>
      </c>
      <c r="D22" s="14">
        <v>6467</v>
      </c>
      <c r="E22" s="14">
        <v>7306</v>
      </c>
      <c r="F22" s="14">
        <v>8604</v>
      </c>
      <c r="G22" s="14">
        <v>9165</v>
      </c>
      <c r="H22" s="14">
        <v>10605</v>
      </c>
      <c r="I22" s="14">
        <v>11879</v>
      </c>
      <c r="J22" s="14">
        <v>13344</v>
      </c>
      <c r="K22" s="14">
        <v>13926</v>
      </c>
      <c r="L22" s="14">
        <v>14415</v>
      </c>
      <c r="M22" s="14"/>
    </row>
    <row r="23" spans="2:15" x14ac:dyDescent="0.3">
      <c r="B23" t="s">
        <v>175</v>
      </c>
      <c r="C23" s="14">
        <f t="shared" ref="C23:L23" si="3">C22-C25</f>
        <v>1875</v>
      </c>
      <c r="D23" s="14">
        <f t="shared" si="3"/>
        <v>1977</v>
      </c>
      <c r="E23" s="14">
        <f t="shared" si="3"/>
        <v>2079</v>
      </c>
      <c r="F23" s="14">
        <f t="shared" si="3"/>
        <v>2544</v>
      </c>
      <c r="G23" s="14">
        <f t="shared" si="3"/>
        <v>2409</v>
      </c>
      <c r="H23" s="14">
        <f t="shared" si="3"/>
        <v>2606</v>
      </c>
      <c r="I23" s="14">
        <f t="shared" si="3"/>
        <v>2987</v>
      </c>
      <c r="J23" s="14">
        <f t="shared" si="3"/>
        <v>3201</v>
      </c>
      <c r="K23" s="14">
        <f t="shared" si="3"/>
        <v>3644</v>
      </c>
      <c r="L23" s="14">
        <f t="shared" si="3"/>
        <v>3744</v>
      </c>
      <c r="M23" s="14"/>
    </row>
    <row r="24" spans="2:15" x14ac:dyDescent="0.3">
      <c r="B24" t="s">
        <v>68</v>
      </c>
      <c r="C24" s="16">
        <v>0.31</v>
      </c>
      <c r="D24" s="16">
        <v>0.31</v>
      </c>
      <c r="E24" s="16">
        <v>0.28000000000000003</v>
      </c>
      <c r="F24" s="16">
        <v>0.3</v>
      </c>
      <c r="G24" s="16">
        <v>0.26</v>
      </c>
      <c r="H24" s="16">
        <v>0.25</v>
      </c>
      <c r="I24" s="16">
        <v>0.25</v>
      </c>
      <c r="J24" s="16">
        <v>0.24</v>
      </c>
      <c r="K24" s="16">
        <v>0.26</v>
      </c>
      <c r="L24" s="16">
        <v>0.26</v>
      </c>
      <c r="M24" s="16"/>
    </row>
    <row r="25" spans="2:15" x14ac:dyDescent="0.3">
      <c r="B25" t="s">
        <v>69</v>
      </c>
      <c r="C25" s="14">
        <v>4151</v>
      </c>
      <c r="D25" s="14">
        <v>4490</v>
      </c>
      <c r="E25" s="14">
        <v>5227</v>
      </c>
      <c r="F25" s="14">
        <v>6060</v>
      </c>
      <c r="G25" s="14">
        <v>6756</v>
      </c>
      <c r="H25" s="14">
        <v>7999</v>
      </c>
      <c r="I25" s="14">
        <v>8892</v>
      </c>
      <c r="J25" s="14">
        <v>10143</v>
      </c>
      <c r="K25" s="14">
        <v>10282</v>
      </c>
      <c r="L25" s="14">
        <v>10671</v>
      </c>
      <c r="M25" s="14"/>
    </row>
    <row r="26" spans="2:15" x14ac:dyDescent="0.3">
      <c r="B26" t="s">
        <v>70</v>
      </c>
      <c r="C26">
        <v>19.18</v>
      </c>
      <c r="D26">
        <v>20.68</v>
      </c>
      <c r="E26">
        <v>24.09</v>
      </c>
      <c r="F26">
        <v>27.97</v>
      </c>
      <c r="G26">
        <v>31.17</v>
      </c>
      <c r="H26">
        <v>34.03</v>
      </c>
      <c r="I26">
        <v>37.79</v>
      </c>
      <c r="J26">
        <v>43.07</v>
      </c>
      <c r="K26">
        <v>43.74</v>
      </c>
      <c r="L26">
        <v>45.32</v>
      </c>
    </row>
    <row r="27" spans="2:15" ht="15" thickBot="1" x14ac:dyDescent="0.35">
      <c r="B27" t="s">
        <v>71</v>
      </c>
      <c r="C27" s="16">
        <v>0.83</v>
      </c>
      <c r="D27" s="16">
        <v>0.82</v>
      </c>
      <c r="E27" s="16">
        <v>0.83</v>
      </c>
      <c r="F27" s="16">
        <v>0.78</v>
      </c>
      <c r="G27" s="16">
        <v>0.8</v>
      </c>
      <c r="H27" s="16">
        <v>1.19</v>
      </c>
      <c r="I27" s="16">
        <v>0.9</v>
      </c>
      <c r="J27" s="16">
        <v>0.91</v>
      </c>
      <c r="K27" s="16">
        <v>0.96</v>
      </c>
      <c r="L27" s="16">
        <v>1.17</v>
      </c>
      <c r="M27" s="16"/>
    </row>
    <row r="28" spans="2:15" x14ac:dyDescent="0.3">
      <c r="N28" s="52" t="s">
        <v>205</v>
      </c>
    </row>
    <row r="29" spans="2:15" x14ac:dyDescent="0.3">
      <c r="B29" s="22" t="s">
        <v>103</v>
      </c>
      <c r="C29" s="22"/>
      <c r="N29" s="50">
        <v>-5518833.593940516</v>
      </c>
    </row>
    <row r="30" spans="2:15" x14ac:dyDescent="0.3">
      <c r="C30" s="13">
        <v>42430</v>
      </c>
      <c r="D30" s="13">
        <v>42795</v>
      </c>
      <c r="E30" s="13">
        <v>43160</v>
      </c>
      <c r="F30" s="13">
        <v>43525</v>
      </c>
      <c r="G30" s="13">
        <v>43891</v>
      </c>
      <c r="H30" s="13">
        <v>44256</v>
      </c>
      <c r="I30" s="13">
        <v>44621</v>
      </c>
      <c r="J30" s="13">
        <v>44986</v>
      </c>
      <c r="K30" s="13">
        <v>45352</v>
      </c>
      <c r="L30" s="13">
        <v>45717</v>
      </c>
      <c r="M30" s="13"/>
      <c r="N30" s="50">
        <v>0</v>
      </c>
    </row>
    <row r="31" spans="2:15" ht="15" thickBot="1" x14ac:dyDescent="0.35">
      <c r="B31" t="s">
        <v>72</v>
      </c>
      <c r="C31">
        <v>216</v>
      </c>
      <c r="D31">
        <v>216</v>
      </c>
      <c r="E31">
        <v>216</v>
      </c>
      <c r="F31">
        <v>216</v>
      </c>
      <c r="G31">
        <v>216</v>
      </c>
      <c r="H31">
        <v>235</v>
      </c>
      <c r="I31">
        <v>235</v>
      </c>
      <c r="J31">
        <v>235</v>
      </c>
      <c r="K31">
        <v>235</v>
      </c>
      <c r="L31">
        <v>235</v>
      </c>
      <c r="N31" s="51">
        <v>4043.9234831229651</v>
      </c>
    </row>
    <row r="32" spans="2:15" x14ac:dyDescent="0.3">
      <c r="B32" t="s">
        <v>35</v>
      </c>
      <c r="C32" s="14">
        <v>6357</v>
      </c>
      <c r="D32" s="14">
        <v>6528</v>
      </c>
      <c r="E32" s="14">
        <v>7065</v>
      </c>
      <c r="F32" s="14">
        <v>7651</v>
      </c>
      <c r="G32" s="14">
        <v>8013</v>
      </c>
      <c r="H32" s="14">
        <v>47439</v>
      </c>
      <c r="I32" s="14">
        <v>48826</v>
      </c>
      <c r="J32" s="14">
        <v>50069</v>
      </c>
      <c r="K32" s="14">
        <v>50983</v>
      </c>
      <c r="L32" s="14">
        <v>49167</v>
      </c>
      <c r="M32" s="14"/>
    </row>
    <row r="33" spans="2:13" x14ac:dyDescent="0.3">
      <c r="B33" t="s">
        <v>98</v>
      </c>
      <c r="C33">
        <v>177</v>
      </c>
      <c r="D33">
        <v>277</v>
      </c>
      <c r="E33">
        <v>0</v>
      </c>
      <c r="F33">
        <v>99</v>
      </c>
      <c r="G33">
        <v>0</v>
      </c>
      <c r="H33">
        <v>0</v>
      </c>
      <c r="I33" s="14">
        <v>1043</v>
      </c>
      <c r="J33" s="14">
        <v>1219</v>
      </c>
      <c r="K33" s="14">
        <v>1484</v>
      </c>
      <c r="L33" s="14">
        <v>1648</v>
      </c>
      <c r="M33" s="14"/>
    </row>
    <row r="34" spans="2:13" x14ac:dyDescent="0.3">
      <c r="B34" t="s">
        <v>73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2:13" x14ac:dyDescent="0.3">
      <c r="B35" t="s">
        <v>74</v>
      </c>
      <c r="C35">
        <v>177</v>
      </c>
      <c r="D35">
        <v>277</v>
      </c>
      <c r="E35">
        <v>0</v>
      </c>
      <c r="F35">
        <v>99</v>
      </c>
      <c r="G35">
        <v>0</v>
      </c>
      <c r="H35">
        <v>0</v>
      </c>
      <c r="I35">
        <v>0</v>
      </c>
      <c r="J35">
        <v>98</v>
      </c>
      <c r="K35">
        <v>13</v>
      </c>
      <c r="L35">
        <v>1</v>
      </c>
    </row>
    <row r="36" spans="2:13" x14ac:dyDescent="0.3">
      <c r="B36" t="s">
        <v>75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s="14">
        <v>1043</v>
      </c>
      <c r="J36" s="14">
        <v>1121</v>
      </c>
      <c r="K36" s="14">
        <v>1471</v>
      </c>
      <c r="L36" s="14">
        <v>1647</v>
      </c>
      <c r="M36" s="14"/>
    </row>
    <row r="37" spans="2:13" x14ac:dyDescent="0.3">
      <c r="B37" t="s">
        <v>99</v>
      </c>
      <c r="C37" s="14">
        <v>8043</v>
      </c>
      <c r="D37" s="14">
        <v>8685</v>
      </c>
      <c r="E37" s="14">
        <v>10581</v>
      </c>
      <c r="F37" s="14">
        <v>10663</v>
      </c>
      <c r="G37" s="14">
        <v>11924</v>
      </c>
      <c r="H37" s="14">
        <v>21066</v>
      </c>
      <c r="I37" s="14">
        <v>20402</v>
      </c>
      <c r="J37" s="14">
        <v>21554</v>
      </c>
      <c r="K37" s="14">
        <v>25787</v>
      </c>
      <c r="L37" s="14">
        <v>28813</v>
      </c>
      <c r="M37" s="14"/>
    </row>
    <row r="38" spans="2:13" x14ac:dyDescent="0.3">
      <c r="B38" t="s">
        <v>76</v>
      </c>
      <c r="C38">
        <v>20</v>
      </c>
      <c r="D38">
        <v>22</v>
      </c>
      <c r="E38">
        <v>20</v>
      </c>
      <c r="F38">
        <v>18</v>
      </c>
      <c r="G38">
        <v>17</v>
      </c>
      <c r="H38">
        <v>20</v>
      </c>
      <c r="I38">
        <v>26</v>
      </c>
      <c r="J38">
        <v>218</v>
      </c>
      <c r="K38">
        <v>205</v>
      </c>
      <c r="L38">
        <v>207</v>
      </c>
    </row>
    <row r="39" spans="2:13" x14ac:dyDescent="0.3">
      <c r="B39" t="s">
        <v>77</v>
      </c>
      <c r="C39" s="14">
        <v>5685</v>
      </c>
      <c r="D39" s="14">
        <v>6186</v>
      </c>
      <c r="E39" s="14">
        <v>7170</v>
      </c>
      <c r="F39" s="14">
        <v>7206</v>
      </c>
      <c r="G39" s="14">
        <v>7535</v>
      </c>
      <c r="H39" s="14">
        <v>8802</v>
      </c>
      <c r="I39" s="14">
        <v>9068</v>
      </c>
      <c r="J39" s="14">
        <v>9574</v>
      </c>
      <c r="K39" s="14">
        <v>10486</v>
      </c>
      <c r="L39" s="14">
        <v>11315</v>
      </c>
      <c r="M39" s="14"/>
    </row>
    <row r="40" spans="2:13" x14ac:dyDescent="0.3">
      <c r="B40" t="s">
        <v>78</v>
      </c>
      <c r="C40">
        <v>45</v>
      </c>
      <c r="D40">
        <v>78</v>
      </c>
      <c r="E40">
        <v>62</v>
      </c>
      <c r="F40">
        <v>43</v>
      </c>
      <c r="G40">
        <v>158</v>
      </c>
      <c r="H40">
        <v>96</v>
      </c>
      <c r="I40">
        <v>119</v>
      </c>
      <c r="J40">
        <v>98</v>
      </c>
      <c r="K40">
        <v>91</v>
      </c>
      <c r="L40">
        <v>105</v>
      </c>
    </row>
    <row r="41" spans="2:13" x14ac:dyDescent="0.3">
      <c r="B41" t="s">
        <v>79</v>
      </c>
      <c r="C41" s="14">
        <v>2293</v>
      </c>
      <c r="D41" s="14">
        <v>2399</v>
      </c>
      <c r="E41" s="14">
        <v>3329</v>
      </c>
      <c r="F41" s="14">
        <v>3396</v>
      </c>
      <c r="G41" s="14">
        <v>4214</v>
      </c>
      <c r="H41" s="14">
        <v>12148</v>
      </c>
      <c r="I41" s="14">
        <v>11189</v>
      </c>
      <c r="J41" s="14">
        <v>11664</v>
      </c>
      <c r="K41" s="14">
        <v>15005</v>
      </c>
      <c r="L41" s="14">
        <v>17186</v>
      </c>
      <c r="M41" s="14"/>
    </row>
    <row r="42" spans="2:13" x14ac:dyDescent="0.3">
      <c r="B42" t="s">
        <v>80</v>
      </c>
      <c r="C42" s="14">
        <v>14793</v>
      </c>
      <c r="D42" s="14">
        <v>15706</v>
      </c>
      <c r="E42" s="14">
        <v>17862</v>
      </c>
      <c r="F42" s="14">
        <v>18629</v>
      </c>
      <c r="G42" s="14">
        <v>20153</v>
      </c>
      <c r="H42" s="14">
        <v>68740</v>
      </c>
      <c r="I42" s="14">
        <v>70506</v>
      </c>
      <c r="J42" s="14">
        <v>73077</v>
      </c>
      <c r="K42" s="14">
        <v>78489</v>
      </c>
      <c r="L42" s="14">
        <v>79863</v>
      </c>
      <c r="M42" s="14"/>
    </row>
    <row r="43" spans="2:13" x14ac:dyDescent="0.3">
      <c r="B43" t="s">
        <v>100</v>
      </c>
      <c r="C43" s="14">
        <v>3258</v>
      </c>
      <c r="D43" s="14">
        <v>4419</v>
      </c>
      <c r="E43" s="14">
        <v>4528</v>
      </c>
      <c r="F43" s="14">
        <v>4715</v>
      </c>
      <c r="G43" s="14">
        <v>5479</v>
      </c>
      <c r="H43" s="14">
        <v>51443</v>
      </c>
      <c r="I43" s="14">
        <v>51473</v>
      </c>
      <c r="J43" s="14">
        <v>52678</v>
      </c>
      <c r="K43" s="14">
        <v>53744</v>
      </c>
      <c r="L43" s="14">
        <v>54335</v>
      </c>
      <c r="M43" s="14"/>
    </row>
    <row r="44" spans="2:13" x14ac:dyDescent="0.3">
      <c r="B44" t="s">
        <v>81</v>
      </c>
      <c r="C44">
        <v>88</v>
      </c>
      <c r="D44">
        <v>89</v>
      </c>
      <c r="E44">
        <v>87</v>
      </c>
      <c r="F44">
        <v>86</v>
      </c>
      <c r="G44">
        <v>59</v>
      </c>
      <c r="H44">
        <v>477</v>
      </c>
      <c r="I44">
        <v>477</v>
      </c>
      <c r="J44">
        <v>609</v>
      </c>
      <c r="K44">
        <v>633</v>
      </c>
      <c r="L44">
        <v>628</v>
      </c>
    </row>
    <row r="45" spans="2:13" x14ac:dyDescent="0.3">
      <c r="B45" t="s">
        <v>82</v>
      </c>
      <c r="C45">
        <v>931</v>
      </c>
      <c r="D45" s="14">
        <v>1210</v>
      </c>
      <c r="E45" s="14">
        <v>1343</v>
      </c>
      <c r="F45" s="14">
        <v>1527</v>
      </c>
      <c r="G45" s="14">
        <v>2044</v>
      </c>
      <c r="H45" s="14">
        <v>2602</v>
      </c>
      <c r="I45" s="14">
        <v>2788</v>
      </c>
      <c r="J45" s="14">
        <v>3101</v>
      </c>
      <c r="K45" s="14">
        <v>3590</v>
      </c>
      <c r="L45" s="14">
        <v>3833</v>
      </c>
      <c r="M45" s="14"/>
    </row>
    <row r="46" spans="2:13" x14ac:dyDescent="0.3">
      <c r="B46" t="s">
        <v>83</v>
      </c>
      <c r="C46" s="14">
        <v>2370</v>
      </c>
      <c r="D46" s="14">
        <v>3270</v>
      </c>
      <c r="E46" s="14">
        <v>3691</v>
      </c>
      <c r="F46" s="14">
        <v>4092</v>
      </c>
      <c r="G46" s="14">
        <v>5001</v>
      </c>
      <c r="H46" s="14">
        <v>6097</v>
      </c>
      <c r="I46" s="14">
        <v>6566</v>
      </c>
      <c r="J46" s="14">
        <v>7612</v>
      </c>
      <c r="K46" s="14">
        <v>8946</v>
      </c>
      <c r="L46" s="14">
        <v>9900</v>
      </c>
      <c r="M46" s="14"/>
    </row>
    <row r="47" spans="2:13" x14ac:dyDescent="0.3">
      <c r="B47" t="s">
        <v>84</v>
      </c>
      <c r="C47">
        <v>41</v>
      </c>
      <c r="D47">
        <v>62</v>
      </c>
      <c r="E47">
        <v>74</v>
      </c>
      <c r="F47">
        <v>95</v>
      </c>
      <c r="G47">
        <v>139</v>
      </c>
      <c r="H47">
        <v>175</v>
      </c>
      <c r="I47">
        <v>181</v>
      </c>
      <c r="J47">
        <v>185</v>
      </c>
      <c r="K47">
        <v>206</v>
      </c>
      <c r="L47">
        <v>245</v>
      </c>
    </row>
    <row r="48" spans="2:13" x14ac:dyDescent="0.3">
      <c r="B48" t="s">
        <v>85</v>
      </c>
      <c r="C48">
        <v>61</v>
      </c>
      <c r="D48">
        <v>66</v>
      </c>
      <c r="E48">
        <v>76</v>
      </c>
      <c r="F48">
        <v>88</v>
      </c>
      <c r="G48">
        <v>154</v>
      </c>
      <c r="H48">
        <v>156</v>
      </c>
      <c r="I48">
        <v>152</v>
      </c>
      <c r="J48">
        <v>161</v>
      </c>
      <c r="K48">
        <v>165</v>
      </c>
      <c r="L48">
        <v>174</v>
      </c>
    </row>
    <row r="49" spans="2:13" x14ac:dyDescent="0.3">
      <c r="B49" t="s">
        <v>86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2:13" x14ac:dyDescent="0.3">
      <c r="B50" t="s">
        <v>87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33</v>
      </c>
      <c r="K50">
        <v>39</v>
      </c>
      <c r="L50">
        <v>102</v>
      </c>
    </row>
    <row r="51" spans="2:13" x14ac:dyDescent="0.3">
      <c r="B51" t="s">
        <v>88</v>
      </c>
      <c r="C51">
        <v>85</v>
      </c>
      <c r="D51">
        <v>455</v>
      </c>
      <c r="E51">
        <v>455</v>
      </c>
      <c r="F51">
        <v>511</v>
      </c>
      <c r="G51">
        <v>511</v>
      </c>
      <c r="H51" s="14">
        <v>45262</v>
      </c>
      <c r="I51" s="14">
        <v>45262</v>
      </c>
      <c r="J51" s="14">
        <v>45692</v>
      </c>
      <c r="K51" s="14">
        <v>45692</v>
      </c>
      <c r="L51" s="14">
        <v>45692</v>
      </c>
      <c r="M51" s="14"/>
    </row>
    <row r="52" spans="2:13" x14ac:dyDescent="0.3">
      <c r="B52" t="s">
        <v>89</v>
      </c>
      <c r="C52">
        <v>19</v>
      </c>
      <c r="D52">
        <v>19</v>
      </c>
      <c r="E52">
        <v>26</v>
      </c>
      <c r="F52">
        <v>60</v>
      </c>
      <c r="G52">
        <v>71</v>
      </c>
      <c r="H52">
        <v>155</v>
      </c>
      <c r="I52">
        <v>152</v>
      </c>
      <c r="J52">
        <v>171</v>
      </c>
      <c r="K52">
        <v>180</v>
      </c>
      <c r="L52">
        <v>190</v>
      </c>
    </row>
    <row r="53" spans="2:13" x14ac:dyDescent="0.3">
      <c r="B53" t="s">
        <v>90</v>
      </c>
      <c r="C53" s="14">
        <v>3595</v>
      </c>
      <c r="D53" s="14">
        <v>5171</v>
      </c>
      <c r="E53" s="14">
        <v>5752</v>
      </c>
      <c r="F53" s="14">
        <v>6459</v>
      </c>
      <c r="G53" s="14">
        <v>7979</v>
      </c>
      <c r="H53" s="14">
        <v>54924</v>
      </c>
      <c r="I53" s="14">
        <v>55578</v>
      </c>
      <c r="J53" s="14">
        <v>57564</v>
      </c>
      <c r="K53" s="14">
        <v>59451</v>
      </c>
      <c r="L53" s="14">
        <v>60764</v>
      </c>
      <c r="M53" s="14"/>
    </row>
    <row r="54" spans="2:13" x14ac:dyDescent="0.3">
      <c r="B54" t="s">
        <v>91</v>
      </c>
      <c r="C54">
        <v>337</v>
      </c>
      <c r="D54">
        <v>752</v>
      </c>
      <c r="E54" s="14">
        <v>1224</v>
      </c>
      <c r="F54" s="14">
        <v>1744</v>
      </c>
      <c r="G54" s="14">
        <v>2500</v>
      </c>
      <c r="H54" s="14">
        <v>3481</v>
      </c>
      <c r="I54" s="14">
        <v>4105</v>
      </c>
      <c r="J54" s="14">
        <v>4886</v>
      </c>
      <c r="K54" s="14">
        <v>5707</v>
      </c>
      <c r="L54" s="14">
        <v>6429</v>
      </c>
      <c r="M54" s="14"/>
    </row>
    <row r="55" spans="2:13" x14ac:dyDescent="0.3">
      <c r="B55" t="s">
        <v>92</v>
      </c>
      <c r="C55">
        <v>408</v>
      </c>
      <c r="D55">
        <v>229</v>
      </c>
      <c r="E55">
        <v>461</v>
      </c>
      <c r="F55">
        <v>406</v>
      </c>
      <c r="G55">
        <v>597</v>
      </c>
      <c r="H55">
        <v>745</v>
      </c>
      <c r="I55" s="14">
        <v>1313</v>
      </c>
      <c r="J55" s="14">
        <v>1132</v>
      </c>
      <c r="K55" s="14">
        <v>1025</v>
      </c>
      <c r="L55" s="14">
        <v>1009</v>
      </c>
      <c r="M55" s="14"/>
    </row>
    <row r="56" spans="2:13" x14ac:dyDescent="0.3">
      <c r="B56" t="s">
        <v>41</v>
      </c>
      <c r="C56" s="14">
        <v>2592</v>
      </c>
      <c r="D56" s="14">
        <v>3794</v>
      </c>
      <c r="E56" s="14">
        <v>2873</v>
      </c>
      <c r="F56" s="14">
        <v>2716</v>
      </c>
      <c r="G56" s="14">
        <v>1255</v>
      </c>
      <c r="H56" s="14">
        <v>2709</v>
      </c>
      <c r="I56" s="14">
        <v>3521</v>
      </c>
      <c r="J56" s="14">
        <v>2882</v>
      </c>
      <c r="K56" s="14">
        <v>4625</v>
      </c>
      <c r="L56" s="14">
        <v>3810</v>
      </c>
      <c r="M56" s="14"/>
    </row>
    <row r="57" spans="2:13" x14ac:dyDescent="0.3">
      <c r="B57" t="s">
        <v>101</v>
      </c>
      <c r="C57" s="14">
        <v>8535</v>
      </c>
      <c r="D57" s="14">
        <v>7264</v>
      </c>
      <c r="E57" s="14">
        <v>10000</v>
      </c>
      <c r="F57" s="14">
        <v>10792</v>
      </c>
      <c r="G57" s="14">
        <v>12822</v>
      </c>
      <c r="H57" s="14">
        <v>13843</v>
      </c>
      <c r="I57" s="14">
        <v>14199</v>
      </c>
      <c r="J57" s="14">
        <v>16385</v>
      </c>
      <c r="K57" s="14">
        <v>19095</v>
      </c>
      <c r="L57" s="14">
        <v>20709</v>
      </c>
      <c r="M57" s="14"/>
    </row>
    <row r="58" spans="2:13" x14ac:dyDescent="0.3">
      <c r="B58" t="s">
        <v>93</v>
      </c>
      <c r="C58" s="14">
        <v>2726</v>
      </c>
      <c r="D58" s="14">
        <v>2541</v>
      </c>
      <c r="E58" s="14">
        <v>2513</v>
      </c>
      <c r="F58" s="14">
        <v>2574</v>
      </c>
      <c r="G58" s="14">
        <v>2767</v>
      </c>
      <c r="H58" s="14">
        <v>3579</v>
      </c>
      <c r="I58" s="14">
        <v>4096</v>
      </c>
      <c r="J58" s="14">
        <v>4251</v>
      </c>
      <c r="K58" s="14">
        <v>4022</v>
      </c>
      <c r="L58" s="14">
        <v>4415</v>
      </c>
      <c r="M58" s="14"/>
    </row>
    <row r="59" spans="2:13" x14ac:dyDescent="0.3">
      <c r="B59" t="s">
        <v>102</v>
      </c>
      <c r="C59" s="14">
        <v>1264</v>
      </c>
      <c r="D59" s="14">
        <v>1085</v>
      </c>
      <c r="E59" s="14">
        <v>1310</v>
      </c>
      <c r="F59" s="14">
        <v>1816</v>
      </c>
      <c r="G59" s="14">
        <v>1149</v>
      </c>
      <c r="H59" s="14">
        <v>1758</v>
      </c>
      <c r="I59" s="14">
        <v>2236</v>
      </c>
      <c r="J59" s="14">
        <v>3079</v>
      </c>
      <c r="K59" s="14">
        <v>2997</v>
      </c>
      <c r="L59" s="14">
        <v>3819</v>
      </c>
      <c r="M59" s="14"/>
    </row>
    <row r="60" spans="2:13" x14ac:dyDescent="0.3">
      <c r="B60" t="s">
        <v>94</v>
      </c>
      <c r="C60" s="14">
        <v>3009</v>
      </c>
      <c r="D60" s="14">
        <v>1828</v>
      </c>
      <c r="E60" s="14">
        <v>3485</v>
      </c>
      <c r="F60" s="14">
        <v>3757</v>
      </c>
      <c r="G60" s="14">
        <v>5113</v>
      </c>
      <c r="H60" s="14">
        <v>4471</v>
      </c>
      <c r="I60" s="14">
        <v>3846</v>
      </c>
      <c r="J60" s="14">
        <v>4678</v>
      </c>
      <c r="K60" s="14">
        <v>7559</v>
      </c>
      <c r="L60" s="14">
        <v>7554</v>
      </c>
      <c r="M60" s="14"/>
    </row>
    <row r="61" spans="2:13" x14ac:dyDescent="0.3">
      <c r="B61" t="s">
        <v>95</v>
      </c>
      <c r="C61">
        <v>0</v>
      </c>
      <c r="D61">
        <v>71</v>
      </c>
      <c r="E61">
        <v>40</v>
      </c>
      <c r="F61">
        <v>26</v>
      </c>
      <c r="G61">
        <v>19</v>
      </c>
      <c r="H61">
        <v>78</v>
      </c>
      <c r="I61">
        <v>170</v>
      </c>
      <c r="J61">
        <v>188</v>
      </c>
      <c r="K61">
        <v>172</v>
      </c>
      <c r="L61">
        <v>242</v>
      </c>
    </row>
    <row r="62" spans="2:13" x14ac:dyDescent="0.3">
      <c r="B62" t="s">
        <v>96</v>
      </c>
      <c r="C62" s="14">
        <v>1536</v>
      </c>
      <c r="D62" s="14">
        <v>1739</v>
      </c>
      <c r="E62" s="14">
        <v>2652</v>
      </c>
      <c r="F62" s="14">
        <v>2619</v>
      </c>
      <c r="G62" s="14">
        <v>3774</v>
      </c>
      <c r="H62" s="14">
        <v>3957</v>
      </c>
      <c r="I62" s="14">
        <v>3851</v>
      </c>
      <c r="J62" s="14">
        <v>4189</v>
      </c>
      <c r="K62" s="14">
        <v>4345</v>
      </c>
      <c r="L62" s="14">
        <v>4679</v>
      </c>
      <c r="M62" s="14"/>
    </row>
    <row r="63" spans="2:13" x14ac:dyDescent="0.3">
      <c r="B63" t="s">
        <v>97</v>
      </c>
      <c r="C63" s="14">
        <v>14793</v>
      </c>
      <c r="D63" s="14">
        <v>15706</v>
      </c>
      <c r="E63" s="14">
        <v>17862</v>
      </c>
      <c r="F63" s="14">
        <v>18629</v>
      </c>
      <c r="G63" s="14">
        <v>20153</v>
      </c>
      <c r="H63" s="14">
        <v>68740</v>
      </c>
      <c r="I63" s="14">
        <v>70506</v>
      </c>
      <c r="J63" s="14">
        <v>73077</v>
      </c>
      <c r="K63" s="14">
        <v>78489</v>
      </c>
      <c r="L63" s="14">
        <v>79863</v>
      </c>
      <c r="M63" s="14"/>
    </row>
    <row r="66" spans="2:13" x14ac:dyDescent="0.3">
      <c r="B66" s="23" t="s">
        <v>104</v>
      </c>
      <c r="C66" s="23"/>
    </row>
    <row r="68" spans="2:13" x14ac:dyDescent="0.3">
      <c r="C68" s="13">
        <v>42430</v>
      </c>
      <c r="D68" s="13">
        <v>42795</v>
      </c>
      <c r="E68" s="13">
        <v>43160</v>
      </c>
      <c r="F68" s="13">
        <v>43525</v>
      </c>
      <c r="G68" s="13">
        <v>43891</v>
      </c>
      <c r="H68" s="13">
        <v>44256</v>
      </c>
      <c r="I68" s="13">
        <v>44621</v>
      </c>
      <c r="J68" s="13">
        <v>44986</v>
      </c>
      <c r="K68" s="13">
        <v>45352</v>
      </c>
      <c r="L68" s="13">
        <v>45717</v>
      </c>
      <c r="M68" s="13"/>
    </row>
    <row r="69" spans="2:13" x14ac:dyDescent="0.3">
      <c r="B69" t="s">
        <v>105</v>
      </c>
      <c r="C69" s="14">
        <v>4171</v>
      </c>
      <c r="D69" s="14">
        <v>5185</v>
      </c>
      <c r="E69" s="14">
        <v>6059</v>
      </c>
      <c r="F69" s="14">
        <v>5800</v>
      </c>
      <c r="G69" s="14">
        <v>7623</v>
      </c>
      <c r="H69" s="14">
        <v>9163</v>
      </c>
      <c r="I69" s="14">
        <v>9048</v>
      </c>
      <c r="J69" s="14">
        <v>9991</v>
      </c>
      <c r="K69" s="14">
        <v>15469</v>
      </c>
      <c r="L69" s="14">
        <v>11886</v>
      </c>
      <c r="M69" s="14"/>
    </row>
    <row r="70" spans="2:13" x14ac:dyDescent="0.3">
      <c r="B70" t="s">
        <v>106</v>
      </c>
      <c r="C70" s="14">
        <v>6025</v>
      </c>
      <c r="D70" s="14">
        <v>6512</v>
      </c>
      <c r="E70" s="14">
        <v>7485</v>
      </c>
      <c r="F70" s="14">
        <v>8909</v>
      </c>
      <c r="G70" s="14">
        <v>9723</v>
      </c>
      <c r="H70" s="14">
        <v>11672</v>
      </c>
      <c r="I70" s="14">
        <v>12829</v>
      </c>
      <c r="J70" s="14">
        <v>14089</v>
      </c>
      <c r="K70" s="14">
        <v>14537</v>
      </c>
      <c r="L70" s="14">
        <v>14942</v>
      </c>
      <c r="M70" s="14"/>
    </row>
    <row r="71" spans="2:13" x14ac:dyDescent="0.3">
      <c r="B71" t="s">
        <v>43</v>
      </c>
      <c r="C71">
        <v>-257</v>
      </c>
      <c r="D71">
        <v>173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2:13" x14ac:dyDescent="0.3">
      <c r="B72" t="s">
        <v>44</v>
      </c>
      <c r="C72">
        <v>89</v>
      </c>
      <c r="D72">
        <v>37</v>
      </c>
      <c r="E72">
        <v>-146</v>
      </c>
      <c r="F72">
        <v>-195</v>
      </c>
      <c r="G72">
        <v>-331</v>
      </c>
      <c r="H72">
        <v>-543</v>
      </c>
      <c r="I72">
        <v>-758</v>
      </c>
      <c r="J72">
        <v>-339</v>
      </c>
      <c r="K72">
        <v>74</v>
      </c>
      <c r="L72">
        <v>-584</v>
      </c>
    </row>
    <row r="73" spans="2:13" x14ac:dyDescent="0.3">
      <c r="B73" t="s">
        <v>107</v>
      </c>
      <c r="C73">
        <v>164</v>
      </c>
      <c r="D73">
        <v>501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2:13" x14ac:dyDescent="0.3">
      <c r="B74" t="s">
        <v>108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2:13" x14ac:dyDescent="0.3">
      <c r="B75" t="s">
        <v>109</v>
      </c>
      <c r="C75">
        <v>0</v>
      </c>
      <c r="D75">
        <v>-46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2:13" x14ac:dyDescent="0.3">
      <c r="B76" t="s">
        <v>110</v>
      </c>
      <c r="C76">
        <v>-77</v>
      </c>
      <c r="D76">
        <v>-99</v>
      </c>
      <c r="E76">
        <v>982</v>
      </c>
      <c r="F76">
        <v>-147</v>
      </c>
      <c r="G76">
        <v>742</v>
      </c>
      <c r="H76">
        <v>442</v>
      </c>
      <c r="I76">
        <v>-242</v>
      </c>
      <c r="J76">
        <v>-621</v>
      </c>
      <c r="K76" s="14">
        <v>1239</v>
      </c>
      <c r="L76">
        <v>-204</v>
      </c>
    </row>
    <row r="77" spans="2:13" x14ac:dyDescent="0.3">
      <c r="B77" t="s">
        <v>111</v>
      </c>
      <c r="C77">
        <v>-81</v>
      </c>
      <c r="D77">
        <v>566</v>
      </c>
      <c r="E77">
        <v>836</v>
      </c>
      <c r="F77">
        <v>-342</v>
      </c>
      <c r="G77">
        <v>411</v>
      </c>
      <c r="H77">
        <v>-101</v>
      </c>
      <c r="I77" s="14">
        <v>-1000</v>
      </c>
      <c r="J77">
        <v>-960</v>
      </c>
      <c r="K77" s="14">
        <v>1313</v>
      </c>
      <c r="L77">
        <v>-788</v>
      </c>
    </row>
    <row r="78" spans="2:13" x14ac:dyDescent="0.3">
      <c r="B78" t="s">
        <v>112</v>
      </c>
      <c r="C78" s="14">
        <v>-1765</v>
      </c>
      <c r="D78" s="14">
        <v>-1859</v>
      </c>
      <c r="E78" s="14">
        <v>-2264</v>
      </c>
      <c r="F78" s="14">
        <v>-2767</v>
      </c>
      <c r="G78" s="14">
        <v>-2505</v>
      </c>
      <c r="H78" s="14">
        <v>-2407</v>
      </c>
      <c r="I78" s="14">
        <v>-2784</v>
      </c>
      <c r="J78" s="14">
        <v>-3138</v>
      </c>
      <c r="K78">
        <v>-381</v>
      </c>
      <c r="L78" s="14">
        <v>-2268</v>
      </c>
      <c r="M78" s="14"/>
    </row>
    <row r="79" spans="2:13" x14ac:dyDescent="0.3">
      <c r="B79" t="s">
        <v>113</v>
      </c>
      <c r="C79">
        <v>-8</v>
      </c>
      <c r="D79">
        <v>-21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2:13" x14ac:dyDescent="0.3">
      <c r="B80" t="s">
        <v>114</v>
      </c>
      <c r="C80">
        <v>0</v>
      </c>
      <c r="D80">
        <v>-13</v>
      </c>
      <c r="E80">
        <v>2</v>
      </c>
      <c r="F80">
        <v>0</v>
      </c>
      <c r="G80">
        <v>-6</v>
      </c>
      <c r="H80">
        <v>-1</v>
      </c>
      <c r="I80">
        <v>3</v>
      </c>
      <c r="J80">
        <v>0</v>
      </c>
      <c r="K80">
        <v>0</v>
      </c>
      <c r="L80">
        <v>0</v>
      </c>
    </row>
    <row r="81" spans="2:13" x14ac:dyDescent="0.3">
      <c r="B81" t="s">
        <v>115</v>
      </c>
      <c r="C81">
        <v>-282</v>
      </c>
      <c r="D81" s="14">
        <v>-1173</v>
      </c>
      <c r="E81" s="14">
        <v>-1063</v>
      </c>
      <c r="F81">
        <v>-438</v>
      </c>
      <c r="G81" s="14">
        <v>1791</v>
      </c>
      <c r="H81" s="14">
        <v>-1228</v>
      </c>
      <c r="I81" s="14">
        <v>-1728</v>
      </c>
      <c r="J81" s="14">
        <v>-1484</v>
      </c>
      <c r="K81" s="14">
        <v>-5324</v>
      </c>
      <c r="L81" s="14">
        <v>6473</v>
      </c>
      <c r="M81" s="14"/>
    </row>
    <row r="82" spans="2:13" x14ac:dyDescent="0.3">
      <c r="B82" t="s">
        <v>116</v>
      </c>
      <c r="C82">
        <v>-810</v>
      </c>
      <c r="D82" s="14">
        <v>-1113</v>
      </c>
      <c r="E82">
        <v>-895</v>
      </c>
      <c r="F82">
        <v>-767</v>
      </c>
      <c r="G82">
        <v>-862</v>
      </c>
      <c r="H82" s="14">
        <v>-4163</v>
      </c>
      <c r="I82" s="14">
        <v>-1228</v>
      </c>
      <c r="J82" s="14">
        <v>-1192</v>
      </c>
      <c r="K82" s="14">
        <v>-1477</v>
      </c>
      <c r="L82" s="14">
        <v>-1275</v>
      </c>
      <c r="M82" s="14"/>
    </row>
    <row r="83" spans="2:13" x14ac:dyDescent="0.3">
      <c r="B83" t="s">
        <v>117</v>
      </c>
      <c r="C83">
        <v>99</v>
      </c>
      <c r="D83">
        <v>176</v>
      </c>
      <c r="E83">
        <v>32</v>
      </c>
      <c r="F83">
        <v>13</v>
      </c>
      <c r="G83">
        <v>52</v>
      </c>
      <c r="H83">
        <v>97</v>
      </c>
      <c r="I83">
        <v>175</v>
      </c>
      <c r="J83">
        <v>181</v>
      </c>
      <c r="K83">
        <v>20</v>
      </c>
      <c r="L83">
        <v>13</v>
      </c>
    </row>
    <row r="84" spans="2:13" x14ac:dyDescent="0.3">
      <c r="B84" t="s">
        <v>118</v>
      </c>
      <c r="C84" s="14">
        <v>-20666</v>
      </c>
      <c r="D84" s="14">
        <v>-31214</v>
      </c>
      <c r="E84" s="14">
        <v>-51855</v>
      </c>
      <c r="F84" s="14">
        <v>-74365</v>
      </c>
      <c r="G84" s="14">
        <v>-36090</v>
      </c>
      <c r="H84" s="14">
        <v>-39920</v>
      </c>
      <c r="I84" s="14">
        <v>-48522</v>
      </c>
      <c r="J84" s="14">
        <v>-22649</v>
      </c>
      <c r="K84" s="14">
        <v>-21337</v>
      </c>
      <c r="L84" s="14">
        <v>-22957</v>
      </c>
      <c r="M84" s="14"/>
    </row>
    <row r="85" spans="2:13" x14ac:dyDescent="0.3">
      <c r="B85" t="s">
        <v>119</v>
      </c>
      <c r="C85" s="14">
        <v>20937</v>
      </c>
      <c r="D85" s="14">
        <v>30083</v>
      </c>
      <c r="E85" s="14">
        <v>52897</v>
      </c>
      <c r="F85" s="14">
        <v>74691</v>
      </c>
      <c r="G85" s="14">
        <v>37690</v>
      </c>
      <c r="H85" s="14">
        <v>38486</v>
      </c>
      <c r="I85" s="14">
        <v>47786</v>
      </c>
      <c r="J85" s="14">
        <v>23462</v>
      </c>
      <c r="K85" s="14">
        <v>19846</v>
      </c>
      <c r="L85" s="14">
        <v>23987</v>
      </c>
      <c r="M85" s="14"/>
    </row>
    <row r="86" spans="2:13" x14ac:dyDescent="0.3">
      <c r="B86" t="s">
        <v>120</v>
      </c>
      <c r="C86">
        <v>315</v>
      </c>
      <c r="D86">
        <v>264</v>
      </c>
      <c r="E86">
        <v>297</v>
      </c>
      <c r="F86">
        <v>289</v>
      </c>
      <c r="G86">
        <v>351</v>
      </c>
      <c r="H86">
        <v>277</v>
      </c>
      <c r="I86">
        <v>161</v>
      </c>
      <c r="J86">
        <v>259</v>
      </c>
      <c r="K86">
        <v>425</v>
      </c>
      <c r="L86">
        <v>835</v>
      </c>
    </row>
    <row r="87" spans="2:13" x14ac:dyDescent="0.3">
      <c r="B87" t="s">
        <v>121</v>
      </c>
      <c r="C87">
        <v>33</v>
      </c>
      <c r="D87">
        <v>14</v>
      </c>
      <c r="E87">
        <v>0</v>
      </c>
      <c r="F87">
        <v>1</v>
      </c>
      <c r="G87">
        <v>1</v>
      </c>
      <c r="H87">
        <v>1</v>
      </c>
      <c r="I87">
        <v>1</v>
      </c>
      <c r="J87">
        <v>2</v>
      </c>
      <c r="K87">
        <v>3</v>
      </c>
      <c r="L87">
        <v>0</v>
      </c>
    </row>
    <row r="88" spans="2:13" x14ac:dyDescent="0.3">
      <c r="B88" t="s">
        <v>122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2:13" x14ac:dyDescent="0.3">
      <c r="B89" t="s">
        <v>123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2:13" x14ac:dyDescent="0.3">
      <c r="B90" t="s">
        <v>124</v>
      </c>
      <c r="C90">
        <v>161</v>
      </c>
      <c r="D90">
        <v>20</v>
      </c>
      <c r="E90">
        <v>73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2:13" x14ac:dyDescent="0.3">
      <c r="B91" t="s">
        <v>125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-334</v>
      </c>
      <c r="K91">
        <v>0</v>
      </c>
      <c r="L91">
        <v>0</v>
      </c>
    </row>
    <row r="92" spans="2:13" x14ac:dyDescent="0.3">
      <c r="B92" t="s">
        <v>126</v>
      </c>
      <c r="C92">
        <v>-351</v>
      </c>
      <c r="D92">
        <v>597</v>
      </c>
      <c r="E92" s="14">
        <v>-1612</v>
      </c>
      <c r="F92">
        <v>-300</v>
      </c>
      <c r="G92">
        <v>649</v>
      </c>
      <c r="H92" s="14">
        <v>3994</v>
      </c>
      <c r="I92">
        <v>-101</v>
      </c>
      <c r="J92" s="14">
        <v>-1213</v>
      </c>
      <c r="K92" s="14">
        <v>-2804</v>
      </c>
      <c r="L92" s="14">
        <v>5870</v>
      </c>
      <c r="M92" s="14"/>
    </row>
    <row r="93" spans="2:13" x14ac:dyDescent="0.3">
      <c r="B93" t="s">
        <v>127</v>
      </c>
      <c r="C93" s="14">
        <v>-3864</v>
      </c>
      <c r="D93" s="14">
        <v>-4214</v>
      </c>
      <c r="E93" s="14">
        <v>-4975</v>
      </c>
      <c r="F93" s="14">
        <v>-5390</v>
      </c>
      <c r="G93" s="14">
        <v>-6819</v>
      </c>
      <c r="H93" s="14">
        <v>-9309</v>
      </c>
      <c r="I93" s="14">
        <v>-8015</v>
      </c>
      <c r="J93" s="14">
        <v>-8953</v>
      </c>
      <c r="K93" s="14">
        <v>-10034</v>
      </c>
      <c r="L93" s="14">
        <v>-13101</v>
      </c>
      <c r="M93" s="14"/>
    </row>
    <row r="94" spans="2:13" x14ac:dyDescent="0.3">
      <c r="B94" t="s">
        <v>128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2:13" x14ac:dyDescent="0.3">
      <c r="B95" t="s">
        <v>129</v>
      </c>
      <c r="C95">
        <v>177</v>
      </c>
      <c r="D95">
        <v>460</v>
      </c>
      <c r="E95">
        <v>0</v>
      </c>
      <c r="F95">
        <v>99</v>
      </c>
      <c r="G95">
        <v>0</v>
      </c>
      <c r="H95">
        <v>188</v>
      </c>
      <c r="I95">
        <v>55</v>
      </c>
      <c r="J95">
        <v>286</v>
      </c>
      <c r="K95">
        <v>0</v>
      </c>
      <c r="L95">
        <v>0</v>
      </c>
    </row>
    <row r="96" spans="2:13" x14ac:dyDescent="0.3">
      <c r="B96" t="s">
        <v>130</v>
      </c>
      <c r="C96">
        <v>0</v>
      </c>
      <c r="D96">
        <v>-360</v>
      </c>
      <c r="E96">
        <v>-277</v>
      </c>
      <c r="F96">
        <v>0</v>
      </c>
      <c r="G96">
        <v>-99</v>
      </c>
      <c r="H96">
        <v>-188</v>
      </c>
      <c r="I96">
        <v>-55</v>
      </c>
      <c r="J96">
        <v>-208</v>
      </c>
      <c r="K96">
        <v>-85</v>
      </c>
      <c r="L96">
        <v>0</v>
      </c>
    </row>
    <row r="97" spans="2:13" x14ac:dyDescent="0.3">
      <c r="B97" t="s">
        <v>131</v>
      </c>
      <c r="C97">
        <v>-2</v>
      </c>
      <c r="D97">
        <v>-14</v>
      </c>
      <c r="E97">
        <v>-6</v>
      </c>
      <c r="F97">
        <v>-7</v>
      </c>
      <c r="G97">
        <v>-90</v>
      </c>
      <c r="H97">
        <v>-92</v>
      </c>
      <c r="I97">
        <v>-82</v>
      </c>
      <c r="J97">
        <v>-88</v>
      </c>
      <c r="K97">
        <v>-110</v>
      </c>
      <c r="L97">
        <v>-130</v>
      </c>
    </row>
    <row r="98" spans="2:13" x14ac:dyDescent="0.3">
      <c r="B98" t="s">
        <v>132</v>
      </c>
      <c r="C98" s="14">
        <v>-3354</v>
      </c>
      <c r="D98" s="14">
        <v>-3572</v>
      </c>
      <c r="E98" s="14">
        <v>-3911</v>
      </c>
      <c r="F98" s="14">
        <v>-4554</v>
      </c>
      <c r="G98" s="14">
        <v>-5196</v>
      </c>
      <c r="H98" s="14">
        <v>-8811</v>
      </c>
      <c r="I98" s="14">
        <v>-7526</v>
      </c>
      <c r="J98" s="14">
        <v>-8474</v>
      </c>
      <c r="K98" s="14">
        <v>-9416</v>
      </c>
      <c r="L98" s="14">
        <v>-12473</v>
      </c>
      <c r="M98" s="14"/>
    </row>
    <row r="99" spans="2:13" x14ac:dyDescent="0.3">
      <c r="B99" t="s">
        <v>133</v>
      </c>
      <c r="C99">
        <v>0</v>
      </c>
      <c r="D99">
        <v>0</v>
      </c>
      <c r="E99">
        <v>0</v>
      </c>
      <c r="F99">
        <v>0</v>
      </c>
      <c r="G99">
        <v>-373</v>
      </c>
      <c r="H99">
        <v>-406</v>
      </c>
      <c r="I99">
        <v>-407</v>
      </c>
      <c r="J99">
        <v>-467</v>
      </c>
      <c r="K99">
        <v>-423</v>
      </c>
      <c r="L99">
        <v>-498</v>
      </c>
    </row>
    <row r="100" spans="2:13" x14ac:dyDescent="0.3">
      <c r="B100" t="s">
        <v>134</v>
      </c>
      <c r="C100">
        <v>-685</v>
      </c>
      <c r="D100">
        <v>-728</v>
      </c>
      <c r="E100">
        <v>-781</v>
      </c>
      <c r="F100">
        <v>-928</v>
      </c>
      <c r="G100" s="14">
        <v>-1061</v>
      </c>
      <c r="H100">
        <v>0</v>
      </c>
      <c r="I100">
        <v>0</v>
      </c>
      <c r="J100">
        <v>-2</v>
      </c>
      <c r="K100">
        <v>0</v>
      </c>
      <c r="L100">
        <v>0</v>
      </c>
    </row>
    <row r="101" spans="2:13" x14ac:dyDescent="0.3">
      <c r="B101" t="s">
        <v>53</v>
      </c>
      <c r="C101">
        <v>25</v>
      </c>
      <c r="D101">
        <v>-202</v>
      </c>
      <c r="E101">
        <v>21</v>
      </c>
      <c r="F101">
        <v>-28</v>
      </c>
      <c r="G101" s="14">
        <v>2595</v>
      </c>
      <c r="H101" s="14">
        <v>-1374</v>
      </c>
      <c r="I101">
        <v>-695</v>
      </c>
      <c r="J101">
        <v>-446</v>
      </c>
      <c r="K101">
        <v>111</v>
      </c>
      <c r="L101" s="14">
        <v>5258</v>
      </c>
      <c r="M101" s="14"/>
    </row>
    <row r="104" spans="2:13" x14ac:dyDescent="0.3">
      <c r="B104" s="20" t="s">
        <v>135</v>
      </c>
    </row>
    <row r="105" spans="2:13" x14ac:dyDescent="0.3">
      <c r="C105" s="13">
        <v>42430</v>
      </c>
      <c r="D105" s="13">
        <v>42795</v>
      </c>
      <c r="E105" s="13">
        <v>43160</v>
      </c>
      <c r="F105" s="13">
        <v>43525</v>
      </c>
      <c r="G105" s="13">
        <v>43891</v>
      </c>
      <c r="H105" s="13">
        <v>44256</v>
      </c>
      <c r="I105" s="13">
        <v>44621</v>
      </c>
      <c r="J105" s="13">
        <v>44986</v>
      </c>
      <c r="K105" s="13">
        <v>45352</v>
      </c>
      <c r="L105" s="13">
        <v>45717</v>
      </c>
      <c r="M105" s="13"/>
    </row>
    <row r="106" spans="2:13" x14ac:dyDescent="0.3">
      <c r="B106" t="s">
        <v>136</v>
      </c>
      <c r="C106">
        <v>14</v>
      </c>
      <c r="D106">
        <v>12</v>
      </c>
      <c r="E106">
        <v>13</v>
      </c>
      <c r="F106">
        <v>17</v>
      </c>
      <c r="G106">
        <v>11</v>
      </c>
      <c r="H106">
        <v>14</v>
      </c>
      <c r="I106">
        <v>16</v>
      </c>
      <c r="J106">
        <v>19</v>
      </c>
      <c r="K106">
        <v>18</v>
      </c>
      <c r="L106">
        <v>22</v>
      </c>
    </row>
    <row r="107" spans="2:13" x14ac:dyDescent="0.3">
      <c r="B107" t="s">
        <v>137</v>
      </c>
      <c r="C107">
        <v>75</v>
      </c>
      <c r="D107">
        <v>67</v>
      </c>
      <c r="E107">
        <v>65</v>
      </c>
      <c r="F107">
        <v>59</v>
      </c>
      <c r="G107">
        <v>65</v>
      </c>
      <c r="H107">
        <v>66</v>
      </c>
      <c r="I107">
        <v>65</v>
      </c>
      <c r="J107">
        <v>55</v>
      </c>
      <c r="K107">
        <v>55</v>
      </c>
      <c r="L107">
        <v>59</v>
      </c>
    </row>
    <row r="108" spans="2:13" x14ac:dyDescent="0.3">
      <c r="B108" t="s">
        <v>138</v>
      </c>
      <c r="C108">
        <v>156</v>
      </c>
      <c r="D108">
        <v>164</v>
      </c>
      <c r="E108">
        <v>185</v>
      </c>
      <c r="F108">
        <v>166</v>
      </c>
      <c r="G108">
        <v>176</v>
      </c>
      <c r="H108">
        <v>163</v>
      </c>
      <c r="I108">
        <v>145</v>
      </c>
      <c r="J108">
        <v>123</v>
      </c>
      <c r="K108">
        <v>143</v>
      </c>
      <c r="L108">
        <v>152</v>
      </c>
    </row>
    <row r="109" spans="2:13" x14ac:dyDescent="0.3">
      <c r="B109" t="s">
        <v>139</v>
      </c>
      <c r="C109">
        <v>-67</v>
      </c>
      <c r="D109">
        <v>-85</v>
      </c>
      <c r="E109">
        <v>-107</v>
      </c>
      <c r="F109">
        <v>-90</v>
      </c>
      <c r="G109">
        <v>-101</v>
      </c>
      <c r="H109">
        <v>-83</v>
      </c>
      <c r="I109">
        <v>-64</v>
      </c>
      <c r="J109">
        <v>-50</v>
      </c>
      <c r="K109">
        <v>-70</v>
      </c>
      <c r="L109">
        <v>-71</v>
      </c>
    </row>
    <row r="110" spans="2:13" x14ac:dyDescent="0.3">
      <c r="B110" t="s">
        <v>140</v>
      </c>
      <c r="C110">
        <v>-26</v>
      </c>
      <c r="D110">
        <v>-35</v>
      </c>
      <c r="E110">
        <v>-37</v>
      </c>
      <c r="F110">
        <v>-30</v>
      </c>
      <c r="G110">
        <v>-31</v>
      </c>
      <c r="H110">
        <v>-32</v>
      </c>
      <c r="I110">
        <v>-22</v>
      </c>
      <c r="J110">
        <v>-15</v>
      </c>
      <c r="K110">
        <v>-22</v>
      </c>
      <c r="L110">
        <v>-33</v>
      </c>
    </row>
    <row r="111" spans="2:13" x14ac:dyDescent="0.3">
      <c r="B111" t="s">
        <v>141</v>
      </c>
      <c r="C111" s="16">
        <v>1.1200000000000001</v>
      </c>
      <c r="D111" s="16">
        <v>0.91</v>
      </c>
      <c r="E111" s="16">
        <v>1.03</v>
      </c>
      <c r="F111" s="16">
        <v>1.1599999999999999</v>
      </c>
      <c r="G111" s="16">
        <v>1.17</v>
      </c>
      <c r="H111" s="16">
        <v>0.39</v>
      </c>
      <c r="I111" s="16">
        <v>0.25</v>
      </c>
      <c r="J111" s="16">
        <v>0.27</v>
      </c>
      <c r="K111" s="16">
        <v>0.27</v>
      </c>
      <c r="L111" s="16">
        <v>0.28000000000000003</v>
      </c>
      <c r="M111" s="16"/>
    </row>
    <row r="114" spans="2:14" x14ac:dyDescent="0.3">
      <c r="B114" t="s">
        <v>100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</row>
    <row r="115" spans="2:14" x14ac:dyDescent="0.3">
      <c r="B115" t="s">
        <v>22</v>
      </c>
    </row>
    <row r="117" spans="2:14" x14ac:dyDescent="0.3">
      <c r="N117" t="e">
        <f>MEDIAN(C117:L117)</f>
        <v>#NUM!</v>
      </c>
    </row>
  </sheetData>
  <mergeCells count="2">
    <mergeCell ref="B29:C29"/>
    <mergeCell ref="B66:C6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 Valuation</vt:lpstr>
      <vt:lpstr>WACC </vt:lpstr>
      <vt:lpstr>Sheet6</vt:lpstr>
      <vt:lpstr>Forecasting</vt:lpstr>
      <vt:lpstr>Sheet2</vt:lpstr>
      <vt:lpstr>Raw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2025-10-05T07:08:11Z</dcterms:created>
  <dcterms:modified xsi:type="dcterms:W3CDTF">2025-10-05T10:05:47Z</dcterms:modified>
</cp:coreProperties>
</file>